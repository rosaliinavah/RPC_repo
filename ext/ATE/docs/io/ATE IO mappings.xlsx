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positories\ATE\docs\io\"/>
    </mc:Choice>
  </mc:AlternateContent>
  <xr:revisionPtr revIDLastSave="0" documentId="13_ncr:1_{CE734D34-3EDA-43D1-B7AC-C52E8973C7CA}" xr6:coauthVersionLast="47" xr6:coauthVersionMax="47" xr10:uidLastSave="{00000000-0000-0000-0000-000000000000}"/>
  <bookViews>
    <workbookView xWindow="-98" yWindow="-98" windowWidth="28996" windowHeight="17475" xr2:uid="{C3071D3E-E813-4FA0-8C35-070634188727}"/>
  </bookViews>
  <sheets>
    <sheet name="EpecBaseProject" sheetId="2" r:id="rId1"/>
    <sheet name="Paths" sheetId="5" r:id="rId2"/>
    <sheet name="Aliases" sheetId="7" r:id="rId3"/>
  </sheets>
  <definedNames>
    <definedName name="AliasPaths">EpecBaseProject!$G$1:$G$960</definedName>
    <definedName name="ChannelPaths">EpecBaseProject!$H$1:$H$960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932" i="2" l="1"/>
  <c r="H925" i="2"/>
  <c r="H918" i="2"/>
  <c r="H911" i="2"/>
  <c r="H904" i="2"/>
  <c r="H897" i="2"/>
  <c r="H890" i="2"/>
  <c r="H883" i="2"/>
  <c r="H876" i="2"/>
  <c r="H869" i="2"/>
  <c r="H862" i="2"/>
  <c r="H855" i="2"/>
  <c r="H848" i="2"/>
  <c r="H841" i="2"/>
  <c r="H834" i="2"/>
  <c r="H827" i="2"/>
  <c r="H820" i="2"/>
  <c r="H813" i="2"/>
  <c r="H806" i="2"/>
  <c r="H799" i="2"/>
  <c r="H792" i="2"/>
  <c r="H785" i="2"/>
  <c r="H778" i="2"/>
  <c r="H771" i="2"/>
  <c r="H764" i="2"/>
  <c r="H757" i="2"/>
  <c r="H750" i="2"/>
  <c r="H743" i="2"/>
  <c r="H736" i="2"/>
  <c r="H729" i="2"/>
  <c r="H722" i="2"/>
  <c r="H715" i="2"/>
  <c r="H708" i="2"/>
  <c r="H701" i="2"/>
  <c r="H694" i="2"/>
  <c r="H687" i="2"/>
  <c r="H680" i="2"/>
  <c r="H673" i="2"/>
  <c r="H666" i="2"/>
  <c r="H659" i="2"/>
  <c r="H652" i="2"/>
  <c r="H645" i="2"/>
  <c r="H638" i="2"/>
  <c r="H631" i="2"/>
  <c r="H624" i="2"/>
  <c r="H617" i="2"/>
  <c r="H610" i="2"/>
  <c r="H603" i="2"/>
  <c r="H596" i="2"/>
  <c r="H589" i="2"/>
  <c r="H582" i="2"/>
  <c r="H575" i="2"/>
  <c r="H568" i="2"/>
  <c r="H561" i="2"/>
  <c r="H554" i="2"/>
  <c r="H547" i="2"/>
  <c r="H540" i="2"/>
  <c r="H533" i="2"/>
  <c r="H526" i="2"/>
  <c r="H519" i="2"/>
  <c r="H512" i="2"/>
  <c r="H505" i="2"/>
  <c r="H498" i="2"/>
  <c r="H491" i="2"/>
  <c r="I619" i="2"/>
  <c r="I618" i="2"/>
  <c r="I617" i="2"/>
  <c r="I616" i="2"/>
  <c r="H616" i="2" s="1"/>
  <c r="I615" i="2"/>
  <c r="I614" i="2"/>
  <c r="I930" i="2"/>
  <c r="H930" i="2" s="1"/>
  <c r="G930" i="2"/>
  <c r="F930" i="2"/>
  <c r="E930" i="2"/>
  <c r="D930" i="2"/>
  <c r="C930" i="2"/>
  <c r="I923" i="2"/>
  <c r="H923" i="2" s="1"/>
  <c r="G923" i="2"/>
  <c r="F923" i="2"/>
  <c r="E923" i="2"/>
  <c r="D923" i="2"/>
  <c r="C923" i="2" s="1"/>
  <c r="I916" i="2"/>
  <c r="H916" i="2" s="1"/>
  <c r="F916" i="2"/>
  <c r="G916" i="2" s="1"/>
  <c r="E916" i="2"/>
  <c r="D916" i="2"/>
  <c r="C916" i="2" s="1"/>
  <c r="I909" i="2"/>
  <c r="H909" i="2"/>
  <c r="G909" i="2"/>
  <c r="F909" i="2"/>
  <c r="E909" i="2"/>
  <c r="D909" i="2"/>
  <c r="C909" i="2"/>
  <c r="I902" i="2"/>
  <c r="H902" i="2"/>
  <c r="G902" i="2"/>
  <c r="F902" i="2"/>
  <c r="E902" i="2"/>
  <c r="D902" i="2"/>
  <c r="C902" i="2"/>
  <c r="I895" i="2"/>
  <c r="H895" i="2" s="1"/>
  <c r="F895" i="2"/>
  <c r="G895" i="2" s="1"/>
  <c r="E895" i="2"/>
  <c r="D895" i="2"/>
  <c r="C895" i="2" s="1"/>
  <c r="I888" i="2"/>
  <c r="H888" i="2" s="1"/>
  <c r="F888" i="2"/>
  <c r="G888" i="2" s="1"/>
  <c r="E888" i="2"/>
  <c r="D888" i="2"/>
  <c r="C888" i="2" s="1"/>
  <c r="I881" i="2"/>
  <c r="H881" i="2" s="1"/>
  <c r="G881" i="2"/>
  <c r="F881" i="2"/>
  <c r="E881" i="2"/>
  <c r="D881" i="2"/>
  <c r="C881" i="2" s="1"/>
  <c r="I874" i="2"/>
  <c r="H874" i="2" s="1"/>
  <c r="F874" i="2"/>
  <c r="G874" i="2" s="1"/>
  <c r="E874" i="2"/>
  <c r="D874" i="2"/>
  <c r="C874" i="2"/>
  <c r="I867" i="2"/>
  <c r="H867" i="2" s="1"/>
  <c r="F867" i="2"/>
  <c r="G867" i="2" s="1"/>
  <c r="E867" i="2"/>
  <c r="D867" i="2"/>
  <c r="C867" i="2" s="1"/>
  <c r="I860" i="2"/>
  <c r="H860" i="2" s="1"/>
  <c r="F860" i="2"/>
  <c r="G860" i="2" s="1"/>
  <c r="E860" i="2"/>
  <c r="D860" i="2"/>
  <c r="C860" i="2" s="1"/>
  <c r="I853" i="2"/>
  <c r="H853" i="2"/>
  <c r="F853" i="2"/>
  <c r="G853" i="2" s="1"/>
  <c r="E853" i="2"/>
  <c r="D853" i="2"/>
  <c r="C853" i="2" s="1"/>
  <c r="I846" i="2"/>
  <c r="H846" i="2" s="1"/>
  <c r="F846" i="2"/>
  <c r="G846" i="2" s="1"/>
  <c r="E846" i="2"/>
  <c r="D846" i="2"/>
  <c r="C846" i="2" s="1"/>
  <c r="I839" i="2"/>
  <c r="H839" i="2"/>
  <c r="F839" i="2"/>
  <c r="G839" i="2" s="1"/>
  <c r="E839" i="2"/>
  <c r="D839" i="2"/>
  <c r="C839" i="2"/>
  <c r="I832" i="2"/>
  <c r="H832" i="2"/>
  <c r="F832" i="2"/>
  <c r="G832" i="2" s="1"/>
  <c r="E832" i="2"/>
  <c r="D832" i="2"/>
  <c r="C832" i="2"/>
  <c r="I825" i="2"/>
  <c r="H825" i="2" s="1"/>
  <c r="F825" i="2"/>
  <c r="G825" i="2" s="1"/>
  <c r="E825" i="2"/>
  <c r="D825" i="2"/>
  <c r="C825" i="2"/>
  <c r="I818" i="2"/>
  <c r="H818" i="2"/>
  <c r="F818" i="2"/>
  <c r="G818" i="2" s="1"/>
  <c r="E818" i="2"/>
  <c r="D818" i="2"/>
  <c r="C818" i="2" s="1"/>
  <c r="I811" i="2"/>
  <c r="H811" i="2" s="1"/>
  <c r="F811" i="2"/>
  <c r="G811" i="2" s="1"/>
  <c r="E811" i="2"/>
  <c r="D811" i="2"/>
  <c r="C811" i="2"/>
  <c r="I804" i="2"/>
  <c r="H804" i="2" s="1"/>
  <c r="F804" i="2"/>
  <c r="G804" i="2" s="1"/>
  <c r="E804" i="2"/>
  <c r="D804" i="2"/>
  <c r="C804" i="2"/>
  <c r="I797" i="2"/>
  <c r="H797" i="2" s="1"/>
  <c r="F797" i="2"/>
  <c r="G797" i="2" s="1"/>
  <c r="E797" i="2"/>
  <c r="D797" i="2"/>
  <c r="C797" i="2"/>
  <c r="I790" i="2"/>
  <c r="H790" i="2" s="1"/>
  <c r="F790" i="2"/>
  <c r="G790" i="2" s="1"/>
  <c r="E790" i="2"/>
  <c r="D790" i="2"/>
  <c r="C790" i="2" s="1"/>
  <c r="I783" i="2"/>
  <c r="H783" i="2"/>
  <c r="F783" i="2"/>
  <c r="G783" i="2" s="1"/>
  <c r="E783" i="2"/>
  <c r="D783" i="2"/>
  <c r="C783" i="2" s="1"/>
  <c r="I776" i="2"/>
  <c r="H776" i="2" s="1"/>
  <c r="F776" i="2"/>
  <c r="G776" i="2" s="1"/>
  <c r="E776" i="2"/>
  <c r="D776" i="2"/>
  <c r="C776" i="2"/>
  <c r="I769" i="2"/>
  <c r="H769" i="2"/>
  <c r="F769" i="2"/>
  <c r="G769" i="2" s="1"/>
  <c r="E769" i="2"/>
  <c r="D769" i="2"/>
  <c r="C769" i="2"/>
  <c r="I762" i="2"/>
  <c r="H762" i="2"/>
  <c r="F762" i="2"/>
  <c r="G762" i="2" s="1"/>
  <c r="E762" i="2"/>
  <c r="D762" i="2"/>
  <c r="C762" i="2"/>
  <c r="I755" i="2"/>
  <c r="H755" i="2"/>
  <c r="G755" i="2"/>
  <c r="F755" i="2"/>
  <c r="E755" i="2"/>
  <c r="D755" i="2"/>
  <c r="C755" i="2"/>
  <c r="I748" i="2"/>
  <c r="H748" i="2" s="1"/>
  <c r="F748" i="2"/>
  <c r="G748" i="2" s="1"/>
  <c r="E748" i="2"/>
  <c r="D748" i="2"/>
  <c r="C748" i="2" s="1"/>
  <c r="I741" i="2"/>
  <c r="H741" i="2"/>
  <c r="F741" i="2"/>
  <c r="G741" i="2" s="1"/>
  <c r="E741" i="2"/>
  <c r="D741" i="2"/>
  <c r="C741" i="2"/>
  <c r="I734" i="2"/>
  <c r="H734" i="2" s="1"/>
  <c r="F734" i="2"/>
  <c r="G734" i="2" s="1"/>
  <c r="E734" i="2"/>
  <c r="D734" i="2"/>
  <c r="C734" i="2" s="1"/>
  <c r="I727" i="2"/>
  <c r="H727" i="2"/>
  <c r="F727" i="2"/>
  <c r="G727" i="2" s="1"/>
  <c r="E727" i="2"/>
  <c r="D727" i="2"/>
  <c r="C727" i="2"/>
  <c r="I720" i="2"/>
  <c r="H720" i="2"/>
  <c r="F720" i="2"/>
  <c r="G720" i="2" s="1"/>
  <c r="E720" i="2"/>
  <c r="D720" i="2"/>
  <c r="C720" i="2"/>
  <c r="I713" i="2"/>
  <c r="H713" i="2"/>
  <c r="F713" i="2"/>
  <c r="G713" i="2" s="1"/>
  <c r="E713" i="2"/>
  <c r="D713" i="2"/>
  <c r="C713" i="2" s="1"/>
  <c r="I706" i="2"/>
  <c r="H706" i="2" s="1"/>
  <c r="F706" i="2"/>
  <c r="G706" i="2" s="1"/>
  <c r="E706" i="2"/>
  <c r="D706" i="2"/>
  <c r="C706" i="2" s="1"/>
  <c r="I699" i="2"/>
  <c r="H699" i="2"/>
  <c r="F699" i="2"/>
  <c r="G699" i="2" s="1"/>
  <c r="E699" i="2"/>
  <c r="D699" i="2"/>
  <c r="C699" i="2"/>
  <c r="I692" i="2"/>
  <c r="H692" i="2" s="1"/>
  <c r="F692" i="2"/>
  <c r="G692" i="2" s="1"/>
  <c r="E692" i="2"/>
  <c r="D692" i="2"/>
  <c r="C692" i="2"/>
  <c r="I685" i="2"/>
  <c r="H685" i="2" s="1"/>
  <c r="F685" i="2"/>
  <c r="G685" i="2" s="1"/>
  <c r="E685" i="2"/>
  <c r="D685" i="2"/>
  <c r="C685" i="2" s="1"/>
  <c r="I678" i="2"/>
  <c r="H678" i="2" s="1"/>
  <c r="G678" i="2"/>
  <c r="F678" i="2"/>
  <c r="E678" i="2"/>
  <c r="D678" i="2"/>
  <c r="C678" i="2" s="1"/>
  <c r="I671" i="2"/>
  <c r="H671" i="2"/>
  <c r="G671" i="2"/>
  <c r="F671" i="2"/>
  <c r="E671" i="2"/>
  <c r="D671" i="2"/>
  <c r="C671" i="2" s="1"/>
  <c r="I664" i="2"/>
  <c r="H664" i="2" s="1"/>
  <c r="F664" i="2"/>
  <c r="G664" i="2" s="1"/>
  <c r="E664" i="2"/>
  <c r="D664" i="2"/>
  <c r="C664" i="2" s="1"/>
  <c r="I657" i="2"/>
  <c r="H657" i="2" s="1"/>
  <c r="F657" i="2"/>
  <c r="G657" i="2" s="1"/>
  <c r="E657" i="2"/>
  <c r="D657" i="2"/>
  <c r="C657" i="2" s="1"/>
  <c r="I650" i="2"/>
  <c r="H650" i="2" s="1"/>
  <c r="F650" i="2"/>
  <c r="G650" i="2" s="1"/>
  <c r="E650" i="2"/>
  <c r="D650" i="2"/>
  <c r="C650" i="2"/>
  <c r="I643" i="2"/>
  <c r="H643" i="2" s="1"/>
  <c r="F643" i="2"/>
  <c r="G643" i="2" s="1"/>
  <c r="E643" i="2"/>
  <c r="D643" i="2"/>
  <c r="C643" i="2"/>
  <c r="I636" i="2"/>
  <c r="H636" i="2" s="1"/>
  <c r="F636" i="2"/>
  <c r="G636" i="2" s="1"/>
  <c r="E636" i="2"/>
  <c r="D636" i="2"/>
  <c r="C636" i="2"/>
  <c r="I629" i="2"/>
  <c r="H629" i="2"/>
  <c r="G629" i="2"/>
  <c r="F629" i="2"/>
  <c r="E629" i="2"/>
  <c r="D629" i="2"/>
  <c r="C629" i="2"/>
  <c r="I622" i="2"/>
  <c r="H622" i="2" s="1"/>
  <c r="F622" i="2"/>
  <c r="G622" i="2" s="1"/>
  <c r="E622" i="2"/>
  <c r="D622" i="2"/>
  <c r="C622" i="2" s="1"/>
  <c r="H615" i="2"/>
  <c r="G615" i="2"/>
  <c r="F615" i="2"/>
  <c r="E615" i="2"/>
  <c r="D615" i="2"/>
  <c r="C615" i="2"/>
  <c r="I608" i="2"/>
  <c r="H608" i="2" s="1"/>
  <c r="F608" i="2"/>
  <c r="G608" i="2" s="1"/>
  <c r="E608" i="2"/>
  <c r="D608" i="2"/>
  <c r="C608" i="2" s="1"/>
  <c r="I601" i="2"/>
  <c r="H601" i="2"/>
  <c r="F601" i="2"/>
  <c r="G601" i="2" s="1"/>
  <c r="E601" i="2"/>
  <c r="D601" i="2"/>
  <c r="C601" i="2"/>
  <c r="I594" i="2"/>
  <c r="H594" i="2" s="1"/>
  <c r="F594" i="2"/>
  <c r="G594" i="2" s="1"/>
  <c r="E594" i="2"/>
  <c r="D594" i="2"/>
  <c r="C594" i="2"/>
  <c r="I587" i="2"/>
  <c r="H587" i="2" s="1"/>
  <c r="F587" i="2"/>
  <c r="G587" i="2" s="1"/>
  <c r="E587" i="2"/>
  <c r="D587" i="2"/>
  <c r="C587" i="2"/>
  <c r="I580" i="2"/>
  <c r="H580" i="2" s="1"/>
  <c r="F580" i="2"/>
  <c r="G580" i="2" s="1"/>
  <c r="E580" i="2"/>
  <c r="D580" i="2"/>
  <c r="C580" i="2" s="1"/>
  <c r="I573" i="2"/>
  <c r="H573" i="2" s="1"/>
  <c r="F573" i="2"/>
  <c r="G573" i="2" s="1"/>
  <c r="E573" i="2"/>
  <c r="D573" i="2"/>
  <c r="C573" i="2"/>
  <c r="I566" i="2"/>
  <c r="H566" i="2" s="1"/>
  <c r="F566" i="2"/>
  <c r="G566" i="2" s="1"/>
  <c r="E566" i="2"/>
  <c r="D566" i="2"/>
  <c r="C566" i="2" s="1"/>
  <c r="I559" i="2"/>
  <c r="H559" i="2"/>
  <c r="F559" i="2"/>
  <c r="G559" i="2" s="1"/>
  <c r="E559" i="2"/>
  <c r="D559" i="2"/>
  <c r="C559" i="2" s="1"/>
  <c r="I552" i="2"/>
  <c r="H552" i="2" s="1"/>
  <c r="F552" i="2"/>
  <c r="G552" i="2" s="1"/>
  <c r="E552" i="2"/>
  <c r="D552" i="2"/>
  <c r="C552" i="2"/>
  <c r="I545" i="2"/>
  <c r="H545" i="2" s="1"/>
  <c r="F545" i="2"/>
  <c r="G545" i="2" s="1"/>
  <c r="E545" i="2"/>
  <c r="D545" i="2"/>
  <c r="C545" i="2"/>
  <c r="I538" i="2"/>
  <c r="H538" i="2" s="1"/>
  <c r="F538" i="2"/>
  <c r="G538" i="2" s="1"/>
  <c r="E538" i="2"/>
  <c r="D538" i="2"/>
  <c r="C538" i="2" s="1"/>
  <c r="I531" i="2"/>
  <c r="H531" i="2"/>
  <c r="G531" i="2"/>
  <c r="F531" i="2"/>
  <c r="E531" i="2"/>
  <c r="D531" i="2"/>
  <c r="C531" i="2"/>
  <c r="I524" i="2"/>
  <c r="H524" i="2" s="1"/>
  <c r="G524" i="2"/>
  <c r="F524" i="2"/>
  <c r="E524" i="2"/>
  <c r="D524" i="2"/>
  <c r="C524" i="2" s="1"/>
  <c r="I517" i="2"/>
  <c r="H517" i="2" s="1"/>
  <c r="F517" i="2"/>
  <c r="G517" i="2" s="1"/>
  <c r="E517" i="2"/>
  <c r="D517" i="2"/>
  <c r="C517" i="2"/>
  <c r="I510" i="2"/>
  <c r="H510" i="2"/>
  <c r="F510" i="2"/>
  <c r="G510" i="2" s="1"/>
  <c r="E510" i="2"/>
  <c r="D510" i="2"/>
  <c r="C510" i="2"/>
  <c r="I503" i="2"/>
  <c r="H503" i="2"/>
  <c r="F503" i="2"/>
  <c r="G503" i="2" s="1"/>
  <c r="E503" i="2"/>
  <c r="D503" i="2"/>
  <c r="C503" i="2" s="1"/>
  <c r="H496" i="2"/>
  <c r="H489" i="2"/>
  <c r="I496" i="2"/>
  <c r="G496" i="2"/>
  <c r="F496" i="2"/>
  <c r="E496" i="2"/>
  <c r="D496" i="2"/>
  <c r="C496" i="2" s="1"/>
  <c r="C489" i="2"/>
  <c r="G489" i="2"/>
  <c r="I489" i="2"/>
  <c r="I955" i="2"/>
  <c r="I954" i="2"/>
  <c r="H955" i="2"/>
  <c r="G955" i="2"/>
  <c r="G954" i="2"/>
  <c r="H954" i="2"/>
  <c r="C955" i="2"/>
  <c r="C954" i="2"/>
  <c r="G491" i="2"/>
  <c r="C5" i="2"/>
  <c r="F497" i="2"/>
  <c r="G497" i="2" s="1"/>
  <c r="E497" i="2"/>
  <c r="E504" i="2" s="1"/>
  <c r="E511" i="2" s="1"/>
  <c r="E518" i="2" s="1"/>
  <c r="E525" i="2" s="1"/>
  <c r="E532" i="2" s="1"/>
  <c r="E539" i="2" s="1"/>
  <c r="E546" i="2" s="1"/>
  <c r="E553" i="2" s="1"/>
  <c r="E560" i="2" s="1"/>
  <c r="E567" i="2" s="1"/>
  <c r="E574" i="2" s="1"/>
  <c r="E581" i="2" s="1"/>
  <c r="E588" i="2" s="1"/>
  <c r="E595" i="2" s="1"/>
  <c r="E602" i="2" s="1"/>
  <c r="E609" i="2" s="1"/>
  <c r="E616" i="2" s="1"/>
  <c r="E623" i="2" s="1"/>
  <c r="E630" i="2" s="1"/>
  <c r="E637" i="2" s="1"/>
  <c r="E644" i="2" s="1"/>
  <c r="E651" i="2" s="1"/>
  <c r="E658" i="2" s="1"/>
  <c r="E665" i="2" s="1"/>
  <c r="E672" i="2" s="1"/>
  <c r="E679" i="2" s="1"/>
  <c r="E686" i="2" s="1"/>
  <c r="E693" i="2" s="1"/>
  <c r="E700" i="2" s="1"/>
  <c r="E707" i="2" s="1"/>
  <c r="E714" i="2" s="1"/>
  <c r="E721" i="2" s="1"/>
  <c r="E728" i="2" s="1"/>
  <c r="E735" i="2" s="1"/>
  <c r="E742" i="2" s="1"/>
  <c r="E749" i="2" s="1"/>
  <c r="E756" i="2" s="1"/>
  <c r="E763" i="2" s="1"/>
  <c r="E770" i="2" s="1"/>
  <c r="E777" i="2" s="1"/>
  <c r="E784" i="2" s="1"/>
  <c r="E791" i="2" s="1"/>
  <c r="E798" i="2" s="1"/>
  <c r="E805" i="2" s="1"/>
  <c r="E812" i="2" s="1"/>
  <c r="E819" i="2" s="1"/>
  <c r="E826" i="2" s="1"/>
  <c r="E833" i="2" s="1"/>
  <c r="E840" i="2" s="1"/>
  <c r="E847" i="2" s="1"/>
  <c r="E854" i="2" s="1"/>
  <c r="E861" i="2" s="1"/>
  <c r="E868" i="2" s="1"/>
  <c r="E875" i="2" s="1"/>
  <c r="E882" i="2" s="1"/>
  <c r="E889" i="2" s="1"/>
  <c r="E896" i="2" s="1"/>
  <c r="E903" i="2" s="1"/>
  <c r="E910" i="2" s="1"/>
  <c r="E917" i="2" s="1"/>
  <c r="E924" i="2" s="1"/>
  <c r="E931" i="2" s="1"/>
  <c r="D497" i="2"/>
  <c r="D504" i="2" s="1"/>
  <c r="C504" i="2" s="1"/>
  <c r="G490" i="2"/>
  <c r="C490" i="2"/>
  <c r="I951" i="2"/>
  <c r="I949" i="2"/>
  <c r="I947" i="2"/>
  <c r="I945" i="2"/>
  <c r="C941" i="2"/>
  <c r="B943" i="2"/>
  <c r="B945" i="2" s="1"/>
  <c r="B947" i="2" s="1"/>
  <c r="B949" i="2" s="1"/>
  <c r="B951" i="2" s="1"/>
  <c r="H941" i="2"/>
  <c r="F941" i="2"/>
  <c r="B960" i="2"/>
  <c r="H960" i="2"/>
  <c r="H959" i="2"/>
  <c r="C959" i="2"/>
  <c r="H938" i="2"/>
  <c r="H937" i="2"/>
  <c r="H940" i="2"/>
  <c r="H939" i="2"/>
  <c r="E943" i="2"/>
  <c r="E945" i="2" s="1"/>
  <c r="E947" i="2" s="1"/>
  <c r="E949" i="2" s="1"/>
  <c r="E951" i="2" s="1"/>
  <c r="D943" i="2"/>
  <c r="F943" i="2" s="1"/>
  <c r="H936" i="2"/>
  <c r="I943" i="2"/>
  <c r="I941" i="2"/>
  <c r="I940" i="2"/>
  <c r="G940" i="2" s="1"/>
  <c r="I939" i="2"/>
  <c r="G939" i="2" s="1"/>
  <c r="I938" i="2"/>
  <c r="G938" i="2" s="1"/>
  <c r="I937" i="2"/>
  <c r="G937" i="2" s="1"/>
  <c r="I936" i="2"/>
  <c r="G936" i="2" s="1"/>
  <c r="B959" i="2"/>
  <c r="G960" i="2"/>
  <c r="C960" i="2"/>
  <c r="G959" i="2"/>
  <c r="H958" i="2"/>
  <c r="C958" i="2"/>
  <c r="B958" i="2"/>
  <c r="B957" i="2"/>
  <c r="G958" i="2"/>
  <c r="H957" i="2"/>
  <c r="G957" i="2"/>
  <c r="C957" i="2"/>
  <c r="D891" i="2"/>
  <c r="C891" i="2" s="1"/>
  <c r="D836" i="2"/>
  <c r="C836" i="2" s="1"/>
  <c r="D835" i="2"/>
  <c r="C835" i="2" s="1"/>
  <c r="H829" i="2"/>
  <c r="C829" i="2"/>
  <c r="D779" i="2"/>
  <c r="D786" i="2" s="1"/>
  <c r="C786" i="2" s="1"/>
  <c r="H717" i="2"/>
  <c r="C717" i="2"/>
  <c r="D724" i="2"/>
  <c r="H724" i="2" s="1"/>
  <c r="D723" i="2"/>
  <c r="D730" i="2" s="1"/>
  <c r="C730" i="2" s="1"/>
  <c r="D722" i="2"/>
  <c r="C661" i="2"/>
  <c r="C715" i="2"/>
  <c r="C716" i="2"/>
  <c r="D668" i="2"/>
  <c r="C668" i="2" s="1"/>
  <c r="D667" i="2"/>
  <c r="C667" i="2" s="1"/>
  <c r="H605" i="2"/>
  <c r="D612" i="2"/>
  <c r="H612" i="2" s="1"/>
  <c r="D611" i="2"/>
  <c r="C611" i="2" s="1"/>
  <c r="C605" i="2"/>
  <c r="C604" i="2"/>
  <c r="B494" i="2"/>
  <c r="B501" i="2" s="1"/>
  <c r="B508" i="2" s="1"/>
  <c r="B515" i="2" s="1"/>
  <c r="B522" i="2" s="1"/>
  <c r="B529" i="2" s="1"/>
  <c r="B536" i="2" s="1"/>
  <c r="B543" i="2" s="1"/>
  <c r="B550" i="2" s="1"/>
  <c r="B557" i="2" s="1"/>
  <c r="B564" i="2" s="1"/>
  <c r="B571" i="2" s="1"/>
  <c r="B578" i="2" s="1"/>
  <c r="B585" i="2" s="1"/>
  <c r="B592" i="2" s="1"/>
  <c r="B599" i="2" s="1"/>
  <c r="B606" i="2" s="1"/>
  <c r="B613" i="2" s="1"/>
  <c r="B620" i="2" s="1"/>
  <c r="B627" i="2" s="1"/>
  <c r="B634" i="2" s="1"/>
  <c r="B641" i="2" s="1"/>
  <c r="B648" i="2" s="1"/>
  <c r="B655" i="2" s="1"/>
  <c r="D494" i="2"/>
  <c r="C494" i="2" s="1"/>
  <c r="E494" i="2"/>
  <c r="E501" i="2" s="1"/>
  <c r="E508" i="2" s="1"/>
  <c r="E515" i="2" s="1"/>
  <c r="E522" i="2" s="1"/>
  <c r="E529" i="2" s="1"/>
  <c r="E536" i="2" s="1"/>
  <c r="E543" i="2" s="1"/>
  <c r="E550" i="2" s="1"/>
  <c r="E557" i="2" s="1"/>
  <c r="E564" i="2" s="1"/>
  <c r="E571" i="2" s="1"/>
  <c r="E578" i="2" s="1"/>
  <c r="E585" i="2" s="1"/>
  <c r="E592" i="2" s="1"/>
  <c r="E599" i="2" s="1"/>
  <c r="E606" i="2" s="1"/>
  <c r="E613" i="2" s="1"/>
  <c r="E620" i="2" s="1"/>
  <c r="E627" i="2" s="1"/>
  <c r="E634" i="2" s="1"/>
  <c r="E641" i="2" s="1"/>
  <c r="E648" i="2" s="1"/>
  <c r="E655" i="2" s="1"/>
  <c r="F494" i="2"/>
  <c r="F501" i="2" s="1"/>
  <c r="F508" i="2" s="1"/>
  <c r="D495" i="2"/>
  <c r="C495" i="2" s="1"/>
  <c r="E495" i="2"/>
  <c r="E502" i="2" s="1"/>
  <c r="E509" i="2" s="1"/>
  <c r="E516" i="2" s="1"/>
  <c r="E523" i="2" s="1"/>
  <c r="E530" i="2" s="1"/>
  <c r="E537" i="2" s="1"/>
  <c r="E544" i="2" s="1"/>
  <c r="E551" i="2" s="1"/>
  <c r="E558" i="2" s="1"/>
  <c r="E565" i="2" s="1"/>
  <c r="E572" i="2" s="1"/>
  <c r="E579" i="2" s="1"/>
  <c r="E586" i="2" s="1"/>
  <c r="E593" i="2" s="1"/>
  <c r="E600" i="2" s="1"/>
  <c r="E607" i="2" s="1"/>
  <c r="E614" i="2" s="1"/>
  <c r="E621" i="2" s="1"/>
  <c r="E628" i="2" s="1"/>
  <c r="E635" i="2" s="1"/>
  <c r="E642" i="2" s="1"/>
  <c r="E649" i="2" s="1"/>
  <c r="E656" i="2" s="1"/>
  <c r="E663" i="2" s="1"/>
  <c r="F495" i="2"/>
  <c r="D498" i="2"/>
  <c r="E498" i="2"/>
  <c r="E505" i="2" s="1"/>
  <c r="E512" i="2" s="1"/>
  <c r="E519" i="2" s="1"/>
  <c r="E526" i="2" s="1"/>
  <c r="E533" i="2" s="1"/>
  <c r="E540" i="2" s="1"/>
  <c r="E547" i="2" s="1"/>
  <c r="E554" i="2" s="1"/>
  <c r="E561" i="2" s="1"/>
  <c r="E568" i="2" s="1"/>
  <c r="E575" i="2" s="1"/>
  <c r="E582" i="2" s="1"/>
  <c r="E589" i="2" s="1"/>
  <c r="E596" i="2" s="1"/>
  <c r="E603" i="2" s="1"/>
  <c r="E610" i="2" s="1"/>
  <c r="E617" i="2" s="1"/>
  <c r="E624" i="2" s="1"/>
  <c r="E631" i="2" s="1"/>
  <c r="E638" i="2" s="1"/>
  <c r="E645" i="2" s="1"/>
  <c r="E652" i="2" s="1"/>
  <c r="E659" i="2" s="1"/>
  <c r="E666" i="2" s="1"/>
  <c r="F498" i="2"/>
  <c r="G498" i="2" s="1"/>
  <c r="D499" i="2"/>
  <c r="C499" i="2" s="1"/>
  <c r="E499" i="2"/>
  <c r="E506" i="2" s="1"/>
  <c r="E513" i="2" s="1"/>
  <c r="E520" i="2" s="1"/>
  <c r="E527" i="2" s="1"/>
  <c r="E534" i="2" s="1"/>
  <c r="E541" i="2" s="1"/>
  <c r="E548" i="2" s="1"/>
  <c r="E555" i="2" s="1"/>
  <c r="E562" i="2" s="1"/>
  <c r="E569" i="2" s="1"/>
  <c r="E576" i="2" s="1"/>
  <c r="E583" i="2" s="1"/>
  <c r="E590" i="2" s="1"/>
  <c r="E597" i="2" s="1"/>
  <c r="E604" i="2" s="1"/>
  <c r="E611" i="2" s="1"/>
  <c r="E618" i="2" s="1"/>
  <c r="E625" i="2" s="1"/>
  <c r="E632" i="2" s="1"/>
  <c r="E639" i="2" s="1"/>
  <c r="E646" i="2" s="1"/>
  <c r="E653" i="2" s="1"/>
  <c r="E660" i="2" s="1"/>
  <c r="F499" i="2"/>
  <c r="G499" i="2" s="1"/>
  <c r="D500" i="2"/>
  <c r="H500" i="2" s="1"/>
  <c r="E500" i="2"/>
  <c r="E507" i="2" s="1"/>
  <c r="E514" i="2" s="1"/>
  <c r="E521" i="2" s="1"/>
  <c r="E528" i="2" s="1"/>
  <c r="E535" i="2" s="1"/>
  <c r="E542" i="2" s="1"/>
  <c r="E549" i="2" s="1"/>
  <c r="E556" i="2" s="1"/>
  <c r="E563" i="2" s="1"/>
  <c r="E570" i="2" s="1"/>
  <c r="E577" i="2" s="1"/>
  <c r="E584" i="2" s="1"/>
  <c r="E591" i="2" s="1"/>
  <c r="E598" i="2" s="1"/>
  <c r="E605" i="2" s="1"/>
  <c r="E612" i="2" s="1"/>
  <c r="E619" i="2" s="1"/>
  <c r="E626" i="2" s="1"/>
  <c r="E633" i="2" s="1"/>
  <c r="E640" i="2" s="1"/>
  <c r="E647" i="2" s="1"/>
  <c r="E654" i="2" s="1"/>
  <c r="E661" i="2" s="1"/>
  <c r="F500" i="2"/>
  <c r="G500" i="2" s="1"/>
  <c r="H493" i="2"/>
  <c r="C491" i="2"/>
  <c r="C493" i="2"/>
  <c r="C492" i="2"/>
  <c r="C488" i="2"/>
  <c r="C487" i="2"/>
  <c r="G424" i="2"/>
  <c r="F428" i="2"/>
  <c r="G428" i="2" s="1"/>
  <c r="E428" i="2"/>
  <c r="E432" i="2" s="1"/>
  <c r="E436" i="2" s="1"/>
  <c r="E440" i="2" s="1"/>
  <c r="E444" i="2" s="1"/>
  <c r="E448" i="2" s="1"/>
  <c r="E452" i="2" s="1"/>
  <c r="E456" i="2" s="1"/>
  <c r="E460" i="2" s="1"/>
  <c r="E464" i="2" s="1"/>
  <c r="E468" i="2" s="1"/>
  <c r="E472" i="2" s="1"/>
  <c r="E476" i="2" s="1"/>
  <c r="E480" i="2" s="1"/>
  <c r="E484" i="2" s="1"/>
  <c r="D428" i="2"/>
  <c r="C428" i="2" s="1"/>
  <c r="C424" i="2"/>
  <c r="D429" i="2"/>
  <c r="C429" i="2" s="1"/>
  <c r="D427" i="2"/>
  <c r="C427" i="2" s="1"/>
  <c r="D426" i="2"/>
  <c r="C426" i="2" s="1"/>
  <c r="F429" i="2"/>
  <c r="G429" i="2" s="1"/>
  <c r="F427" i="2"/>
  <c r="G427" i="2" s="1"/>
  <c r="F426" i="2"/>
  <c r="F430" i="2" s="1"/>
  <c r="F434" i="2" s="1"/>
  <c r="F438" i="2" s="1"/>
  <c r="E429" i="2"/>
  <c r="E433" i="2" s="1"/>
  <c r="E437" i="2" s="1"/>
  <c r="E441" i="2" s="1"/>
  <c r="E445" i="2" s="1"/>
  <c r="E449" i="2" s="1"/>
  <c r="E453" i="2" s="1"/>
  <c r="E457" i="2" s="1"/>
  <c r="E461" i="2" s="1"/>
  <c r="E465" i="2" s="1"/>
  <c r="E469" i="2" s="1"/>
  <c r="E473" i="2" s="1"/>
  <c r="E477" i="2" s="1"/>
  <c r="E481" i="2" s="1"/>
  <c r="E485" i="2" s="1"/>
  <c r="E427" i="2"/>
  <c r="E431" i="2" s="1"/>
  <c r="E435" i="2" s="1"/>
  <c r="E439" i="2" s="1"/>
  <c r="E443" i="2" s="1"/>
  <c r="E447" i="2" s="1"/>
  <c r="E451" i="2" s="1"/>
  <c r="E455" i="2" s="1"/>
  <c r="E459" i="2" s="1"/>
  <c r="E463" i="2" s="1"/>
  <c r="E467" i="2" s="1"/>
  <c r="E471" i="2" s="1"/>
  <c r="E475" i="2" s="1"/>
  <c r="E479" i="2" s="1"/>
  <c r="E483" i="2" s="1"/>
  <c r="E426" i="2"/>
  <c r="E430" i="2" s="1"/>
  <c r="E434" i="2" s="1"/>
  <c r="E438" i="2" s="1"/>
  <c r="E442" i="2" s="1"/>
  <c r="E446" i="2" s="1"/>
  <c r="E450" i="2" s="1"/>
  <c r="E454" i="2" s="1"/>
  <c r="E458" i="2" s="1"/>
  <c r="E462" i="2" s="1"/>
  <c r="E466" i="2" s="1"/>
  <c r="E470" i="2" s="1"/>
  <c r="E474" i="2" s="1"/>
  <c r="E478" i="2" s="1"/>
  <c r="E482" i="2" s="1"/>
  <c r="B426" i="2"/>
  <c r="B430" i="2" s="1"/>
  <c r="B434" i="2" s="1"/>
  <c r="B438" i="2" s="1"/>
  <c r="B442" i="2" s="1"/>
  <c r="B446" i="2" s="1"/>
  <c r="B450" i="2" s="1"/>
  <c r="B454" i="2" s="1"/>
  <c r="B458" i="2" s="1"/>
  <c r="B462" i="2" s="1"/>
  <c r="B466" i="2" s="1"/>
  <c r="B470" i="2" s="1"/>
  <c r="B474" i="2" s="1"/>
  <c r="B478" i="2" s="1"/>
  <c r="B482" i="2" s="1"/>
  <c r="C497" i="2" l="1"/>
  <c r="F504" i="2"/>
  <c r="D511" i="2"/>
  <c r="G941" i="2"/>
  <c r="C943" i="2"/>
  <c r="D945" i="2"/>
  <c r="D947" i="2" s="1"/>
  <c r="H943" i="2"/>
  <c r="G943" i="2"/>
  <c r="D898" i="2"/>
  <c r="C898" i="2" s="1"/>
  <c r="H836" i="2"/>
  <c r="D843" i="2"/>
  <c r="D850" i="2" s="1"/>
  <c r="D842" i="2"/>
  <c r="D793" i="2"/>
  <c r="D800" i="2" s="1"/>
  <c r="C800" i="2" s="1"/>
  <c r="C779" i="2"/>
  <c r="C723" i="2"/>
  <c r="D737" i="2"/>
  <c r="D729" i="2"/>
  <c r="D736" i="2" s="1"/>
  <c r="C722" i="2"/>
  <c r="D731" i="2"/>
  <c r="D738" i="2" s="1"/>
  <c r="D675" i="2"/>
  <c r="H675" i="2" s="1"/>
  <c r="C724" i="2"/>
  <c r="D674" i="2"/>
  <c r="D681" i="2" s="1"/>
  <c r="D688" i="2" s="1"/>
  <c r="D695" i="2" s="1"/>
  <c r="H668" i="2"/>
  <c r="E668" i="2"/>
  <c r="E675" i="2" s="1"/>
  <c r="E682" i="2" s="1"/>
  <c r="E689" i="2" s="1"/>
  <c r="E696" i="2" s="1"/>
  <c r="E703" i="2" s="1"/>
  <c r="E710" i="2" s="1"/>
  <c r="E717" i="2" s="1"/>
  <c r="E724" i="2" s="1"/>
  <c r="E731" i="2" s="1"/>
  <c r="E738" i="2" s="1"/>
  <c r="E745" i="2" s="1"/>
  <c r="E752" i="2" s="1"/>
  <c r="E759" i="2" s="1"/>
  <c r="E766" i="2" s="1"/>
  <c r="E773" i="2" s="1"/>
  <c r="E780" i="2" s="1"/>
  <c r="E787" i="2" s="1"/>
  <c r="E794" i="2" s="1"/>
  <c r="E801" i="2" s="1"/>
  <c r="E808" i="2" s="1"/>
  <c r="E815" i="2" s="1"/>
  <c r="E822" i="2" s="1"/>
  <c r="E829" i="2" s="1"/>
  <c r="E836" i="2" s="1"/>
  <c r="E843" i="2" s="1"/>
  <c r="E850" i="2" s="1"/>
  <c r="E857" i="2" s="1"/>
  <c r="E864" i="2" s="1"/>
  <c r="E871" i="2" s="1"/>
  <c r="E878" i="2" s="1"/>
  <c r="E885" i="2" s="1"/>
  <c r="E892" i="2" s="1"/>
  <c r="E899" i="2" s="1"/>
  <c r="E906" i="2" s="1"/>
  <c r="E913" i="2" s="1"/>
  <c r="E920" i="2" s="1"/>
  <c r="E927" i="2" s="1"/>
  <c r="E934" i="2" s="1"/>
  <c r="E673" i="2"/>
  <c r="E680" i="2" s="1"/>
  <c r="E687" i="2" s="1"/>
  <c r="E694" i="2" s="1"/>
  <c r="E701" i="2" s="1"/>
  <c r="E708" i="2" s="1"/>
  <c r="E715" i="2" s="1"/>
  <c r="E722" i="2" s="1"/>
  <c r="E729" i="2" s="1"/>
  <c r="E736" i="2" s="1"/>
  <c r="E743" i="2" s="1"/>
  <c r="E750" i="2" s="1"/>
  <c r="E757" i="2" s="1"/>
  <c r="E764" i="2" s="1"/>
  <c r="E771" i="2" s="1"/>
  <c r="E778" i="2" s="1"/>
  <c r="E785" i="2" s="1"/>
  <c r="E792" i="2" s="1"/>
  <c r="E799" i="2" s="1"/>
  <c r="E806" i="2" s="1"/>
  <c r="E813" i="2" s="1"/>
  <c r="E820" i="2" s="1"/>
  <c r="E827" i="2" s="1"/>
  <c r="E834" i="2" s="1"/>
  <c r="E841" i="2" s="1"/>
  <c r="E848" i="2" s="1"/>
  <c r="E855" i="2" s="1"/>
  <c r="E862" i="2" s="1"/>
  <c r="E869" i="2" s="1"/>
  <c r="E876" i="2" s="1"/>
  <c r="E883" i="2" s="1"/>
  <c r="E890" i="2" s="1"/>
  <c r="E897" i="2" s="1"/>
  <c r="E904" i="2" s="1"/>
  <c r="E911" i="2" s="1"/>
  <c r="E918" i="2" s="1"/>
  <c r="E925" i="2" s="1"/>
  <c r="E932" i="2" s="1"/>
  <c r="E662" i="2"/>
  <c r="E669" i="2" s="1"/>
  <c r="E676" i="2" s="1"/>
  <c r="E683" i="2" s="1"/>
  <c r="E690" i="2" s="1"/>
  <c r="E697" i="2" s="1"/>
  <c r="E704" i="2" s="1"/>
  <c r="E711" i="2" s="1"/>
  <c r="E718" i="2" s="1"/>
  <c r="E725" i="2" s="1"/>
  <c r="E732" i="2" s="1"/>
  <c r="E739" i="2" s="1"/>
  <c r="E746" i="2" s="1"/>
  <c r="E753" i="2" s="1"/>
  <c r="E760" i="2" s="1"/>
  <c r="E767" i="2" s="1"/>
  <c r="E774" i="2" s="1"/>
  <c r="E781" i="2" s="1"/>
  <c r="E788" i="2" s="1"/>
  <c r="E795" i="2" s="1"/>
  <c r="E802" i="2" s="1"/>
  <c r="E809" i="2" s="1"/>
  <c r="E816" i="2" s="1"/>
  <c r="E823" i="2" s="1"/>
  <c r="E830" i="2" s="1"/>
  <c r="E837" i="2" s="1"/>
  <c r="E844" i="2" s="1"/>
  <c r="E851" i="2" s="1"/>
  <c r="E858" i="2" s="1"/>
  <c r="E865" i="2" s="1"/>
  <c r="E872" i="2" s="1"/>
  <c r="E879" i="2" s="1"/>
  <c r="E886" i="2" s="1"/>
  <c r="E893" i="2" s="1"/>
  <c r="E900" i="2" s="1"/>
  <c r="E907" i="2" s="1"/>
  <c r="E914" i="2" s="1"/>
  <c r="E921" i="2" s="1"/>
  <c r="E928" i="2" s="1"/>
  <c r="E670" i="2"/>
  <c r="E677" i="2" s="1"/>
  <c r="E684" i="2" s="1"/>
  <c r="E691" i="2" s="1"/>
  <c r="E698" i="2" s="1"/>
  <c r="E705" i="2" s="1"/>
  <c r="E712" i="2" s="1"/>
  <c r="E719" i="2" s="1"/>
  <c r="E726" i="2" s="1"/>
  <c r="E733" i="2" s="1"/>
  <c r="E740" i="2" s="1"/>
  <c r="E747" i="2" s="1"/>
  <c r="E754" i="2" s="1"/>
  <c r="E761" i="2" s="1"/>
  <c r="E768" i="2" s="1"/>
  <c r="E775" i="2" s="1"/>
  <c r="E782" i="2" s="1"/>
  <c r="E789" i="2" s="1"/>
  <c r="E796" i="2" s="1"/>
  <c r="E803" i="2" s="1"/>
  <c r="E810" i="2" s="1"/>
  <c r="E817" i="2" s="1"/>
  <c r="E824" i="2" s="1"/>
  <c r="E831" i="2" s="1"/>
  <c r="E838" i="2" s="1"/>
  <c r="E845" i="2" s="1"/>
  <c r="E852" i="2" s="1"/>
  <c r="E859" i="2" s="1"/>
  <c r="E866" i="2" s="1"/>
  <c r="E873" i="2" s="1"/>
  <c r="E880" i="2" s="1"/>
  <c r="E887" i="2" s="1"/>
  <c r="E894" i="2" s="1"/>
  <c r="E901" i="2" s="1"/>
  <c r="E908" i="2" s="1"/>
  <c r="E915" i="2" s="1"/>
  <c r="E922" i="2" s="1"/>
  <c r="E929" i="2" s="1"/>
  <c r="B662" i="2"/>
  <c r="B669" i="2" s="1"/>
  <c r="B676" i="2" s="1"/>
  <c r="B683" i="2" s="1"/>
  <c r="B690" i="2" s="1"/>
  <c r="B697" i="2" s="1"/>
  <c r="B704" i="2" s="1"/>
  <c r="B711" i="2" s="1"/>
  <c r="B718" i="2" s="1"/>
  <c r="B725" i="2" s="1"/>
  <c r="B732" i="2" s="1"/>
  <c r="B739" i="2" s="1"/>
  <c r="B746" i="2" s="1"/>
  <c r="B753" i="2" s="1"/>
  <c r="B760" i="2" s="1"/>
  <c r="B767" i="2" s="1"/>
  <c r="B774" i="2" s="1"/>
  <c r="B781" i="2" s="1"/>
  <c r="B788" i="2" s="1"/>
  <c r="B795" i="2" s="1"/>
  <c r="B802" i="2" s="1"/>
  <c r="B809" i="2" s="1"/>
  <c r="B816" i="2" s="1"/>
  <c r="B823" i="2" s="1"/>
  <c r="B830" i="2" s="1"/>
  <c r="B837" i="2" s="1"/>
  <c r="B844" i="2" s="1"/>
  <c r="B851" i="2" s="1"/>
  <c r="B858" i="2" s="1"/>
  <c r="B865" i="2" s="1"/>
  <c r="B872" i="2" s="1"/>
  <c r="B879" i="2" s="1"/>
  <c r="B886" i="2" s="1"/>
  <c r="B893" i="2" s="1"/>
  <c r="B900" i="2" s="1"/>
  <c r="B907" i="2" s="1"/>
  <c r="B914" i="2" s="1"/>
  <c r="B921" i="2" s="1"/>
  <c r="B928" i="2" s="1"/>
  <c r="E667" i="2"/>
  <c r="E674" i="2" s="1"/>
  <c r="E681" i="2" s="1"/>
  <c r="E688" i="2" s="1"/>
  <c r="E695" i="2" s="1"/>
  <c r="E702" i="2" s="1"/>
  <c r="E709" i="2" s="1"/>
  <c r="E716" i="2" s="1"/>
  <c r="E723" i="2" s="1"/>
  <c r="E730" i="2" s="1"/>
  <c r="E737" i="2" s="1"/>
  <c r="E744" i="2" s="1"/>
  <c r="E751" i="2" s="1"/>
  <c r="E758" i="2" s="1"/>
  <c r="E765" i="2" s="1"/>
  <c r="E772" i="2" s="1"/>
  <c r="E779" i="2" s="1"/>
  <c r="E786" i="2" s="1"/>
  <c r="E793" i="2" s="1"/>
  <c r="E800" i="2" s="1"/>
  <c r="E807" i="2" s="1"/>
  <c r="E814" i="2" s="1"/>
  <c r="E821" i="2" s="1"/>
  <c r="E828" i="2" s="1"/>
  <c r="E835" i="2" s="1"/>
  <c r="E842" i="2" s="1"/>
  <c r="E849" i="2" s="1"/>
  <c r="E856" i="2" s="1"/>
  <c r="E863" i="2" s="1"/>
  <c r="E870" i="2" s="1"/>
  <c r="E877" i="2" s="1"/>
  <c r="E884" i="2" s="1"/>
  <c r="E891" i="2" s="1"/>
  <c r="E898" i="2" s="1"/>
  <c r="E905" i="2" s="1"/>
  <c r="E912" i="2" s="1"/>
  <c r="E919" i="2" s="1"/>
  <c r="E926" i="2" s="1"/>
  <c r="E933" i="2" s="1"/>
  <c r="D618" i="2"/>
  <c r="C618" i="2" s="1"/>
  <c r="C612" i="2"/>
  <c r="D619" i="2"/>
  <c r="D626" i="2" s="1"/>
  <c r="F505" i="2"/>
  <c r="F512" i="2" s="1"/>
  <c r="G512" i="2" s="1"/>
  <c r="D501" i="2"/>
  <c r="C501" i="2" s="1"/>
  <c r="D507" i="2"/>
  <c r="H507" i="2" s="1"/>
  <c r="D502" i="2"/>
  <c r="C498" i="2"/>
  <c r="F506" i="2"/>
  <c r="C500" i="2"/>
  <c r="D505" i="2"/>
  <c r="F515" i="2"/>
  <c r="D506" i="2"/>
  <c r="F502" i="2"/>
  <c r="F507" i="2"/>
  <c r="F432" i="2"/>
  <c r="F442" i="2"/>
  <c r="F446" i="2" s="1"/>
  <c r="D431" i="2"/>
  <c r="C431" i="2" s="1"/>
  <c r="D432" i="2"/>
  <c r="D433" i="2"/>
  <c r="F431" i="2"/>
  <c r="F433" i="2"/>
  <c r="D430" i="2"/>
  <c r="D434" i="2" s="1"/>
  <c r="D438" i="2" s="1"/>
  <c r="H427" i="2"/>
  <c r="D518" i="2" l="1"/>
  <c r="C511" i="2"/>
  <c r="G504" i="2"/>
  <c r="F511" i="2"/>
  <c r="F945" i="2"/>
  <c r="G945" i="2" s="1"/>
  <c r="C945" i="2"/>
  <c r="H945" i="2"/>
  <c r="F947" i="2"/>
  <c r="G947" i="2" s="1"/>
  <c r="D949" i="2"/>
  <c r="H947" i="2"/>
  <c r="C947" i="2"/>
  <c r="D905" i="2"/>
  <c r="D912" i="2" s="1"/>
  <c r="C842" i="2"/>
  <c r="D849" i="2"/>
  <c r="H850" i="2"/>
  <c r="D857" i="2"/>
  <c r="D864" i="2" s="1"/>
  <c r="C850" i="2"/>
  <c r="H843" i="2"/>
  <c r="C843" i="2"/>
  <c r="C793" i="2"/>
  <c r="D807" i="2"/>
  <c r="D814" i="2" s="1"/>
  <c r="D682" i="2"/>
  <c r="C682" i="2" s="1"/>
  <c r="C675" i="2"/>
  <c r="H738" i="2"/>
  <c r="D745" i="2"/>
  <c r="D752" i="2" s="1"/>
  <c r="C738" i="2"/>
  <c r="D743" i="2"/>
  <c r="D750" i="2" s="1"/>
  <c r="C736" i="2"/>
  <c r="D744" i="2"/>
  <c r="C737" i="2"/>
  <c r="C688" i="2"/>
  <c r="H731" i="2"/>
  <c r="C731" i="2"/>
  <c r="C729" i="2"/>
  <c r="C681" i="2"/>
  <c r="C674" i="2"/>
  <c r="D702" i="2"/>
  <c r="C695" i="2"/>
  <c r="D625" i="2"/>
  <c r="D632" i="2" s="1"/>
  <c r="H626" i="2"/>
  <c r="D633" i="2"/>
  <c r="D640" i="2" s="1"/>
  <c r="C626" i="2"/>
  <c r="C507" i="2"/>
  <c r="H619" i="2"/>
  <c r="C619" i="2"/>
  <c r="G505" i="2"/>
  <c r="D508" i="2"/>
  <c r="F519" i="2"/>
  <c r="F526" i="2" s="1"/>
  <c r="D514" i="2"/>
  <c r="C502" i="2"/>
  <c r="D509" i="2"/>
  <c r="C505" i="2"/>
  <c r="G506" i="2"/>
  <c r="F513" i="2"/>
  <c r="D512" i="2"/>
  <c r="F509" i="2"/>
  <c r="F514" i="2"/>
  <c r="G507" i="2"/>
  <c r="C506" i="2"/>
  <c r="D513" i="2"/>
  <c r="F522" i="2"/>
  <c r="F450" i="2"/>
  <c r="G432" i="2"/>
  <c r="F436" i="2"/>
  <c r="D442" i="2"/>
  <c r="D446" i="2" s="1"/>
  <c r="C438" i="2"/>
  <c r="G431" i="2"/>
  <c r="F435" i="2"/>
  <c r="C433" i="2"/>
  <c r="D437" i="2"/>
  <c r="C432" i="2"/>
  <c r="D436" i="2"/>
  <c r="D440" i="2" s="1"/>
  <c r="C434" i="2"/>
  <c r="G433" i="2"/>
  <c r="F437" i="2"/>
  <c r="H431" i="2"/>
  <c r="D435" i="2"/>
  <c r="D439" i="2" s="1"/>
  <c r="C430" i="2"/>
  <c r="G511" i="2" l="1"/>
  <c r="F518" i="2"/>
  <c r="C518" i="2"/>
  <c r="D525" i="2"/>
  <c r="F949" i="2"/>
  <c r="G949" i="2" s="1"/>
  <c r="C949" i="2"/>
  <c r="D951" i="2"/>
  <c r="H949" i="2"/>
  <c r="C905" i="2"/>
  <c r="C912" i="2"/>
  <c r="D919" i="2"/>
  <c r="C807" i="2"/>
  <c r="D689" i="2"/>
  <c r="C689" i="2" s="1"/>
  <c r="H864" i="2"/>
  <c r="D871" i="2"/>
  <c r="C864" i="2"/>
  <c r="H682" i="2"/>
  <c r="H857" i="2"/>
  <c r="C857" i="2"/>
  <c r="D856" i="2"/>
  <c r="C849" i="2"/>
  <c r="D821" i="2"/>
  <c r="C814" i="2"/>
  <c r="C744" i="2"/>
  <c r="D751" i="2"/>
  <c r="D757" i="2"/>
  <c r="C750" i="2"/>
  <c r="H752" i="2"/>
  <c r="C752" i="2"/>
  <c r="D759" i="2"/>
  <c r="C743" i="2"/>
  <c r="H745" i="2"/>
  <c r="C745" i="2"/>
  <c r="D709" i="2"/>
  <c r="C702" i="2"/>
  <c r="C512" i="2"/>
  <c r="D519" i="2"/>
  <c r="C632" i="2"/>
  <c r="D639" i="2"/>
  <c r="C625" i="2"/>
  <c r="H640" i="2"/>
  <c r="D647" i="2"/>
  <c r="C640" i="2"/>
  <c r="H633" i="2"/>
  <c r="C633" i="2"/>
  <c r="C508" i="2"/>
  <c r="G519" i="2"/>
  <c r="D515" i="2"/>
  <c r="C509" i="2"/>
  <c r="D516" i="2"/>
  <c r="H514" i="2"/>
  <c r="D521" i="2"/>
  <c r="C514" i="2"/>
  <c r="F520" i="2"/>
  <c r="G513" i="2"/>
  <c r="F529" i="2"/>
  <c r="F533" i="2"/>
  <c r="G526" i="2"/>
  <c r="D520" i="2"/>
  <c r="C513" i="2"/>
  <c r="G514" i="2"/>
  <c r="F521" i="2"/>
  <c r="F516" i="2"/>
  <c r="F523" i="2" s="1"/>
  <c r="F454" i="2"/>
  <c r="D450" i="2"/>
  <c r="C446" i="2"/>
  <c r="G436" i="2"/>
  <c r="F440" i="2"/>
  <c r="G435" i="2"/>
  <c r="F439" i="2"/>
  <c r="D444" i="2"/>
  <c r="D448" i="2" s="1"/>
  <c r="C440" i="2"/>
  <c r="C437" i="2"/>
  <c r="D441" i="2"/>
  <c r="C439" i="2"/>
  <c r="D443" i="2"/>
  <c r="D447" i="2" s="1"/>
  <c r="H439" i="2"/>
  <c r="C442" i="2"/>
  <c r="G437" i="2"/>
  <c r="F441" i="2"/>
  <c r="C436" i="2"/>
  <c r="H435" i="2"/>
  <c r="C435" i="2"/>
  <c r="D532" i="2" l="1"/>
  <c r="C525" i="2"/>
  <c r="G518" i="2"/>
  <c r="F525" i="2"/>
  <c r="H689" i="2"/>
  <c r="H951" i="2"/>
  <c r="F951" i="2"/>
  <c r="G951" i="2" s="1"/>
  <c r="C951" i="2"/>
  <c r="D696" i="2"/>
  <c r="C696" i="2" s="1"/>
  <c r="D926" i="2"/>
  <c r="C919" i="2"/>
  <c r="C856" i="2"/>
  <c r="D863" i="2"/>
  <c r="H871" i="2"/>
  <c r="C871" i="2"/>
  <c r="D878" i="2"/>
  <c r="C519" i="2"/>
  <c r="C821" i="2"/>
  <c r="C828" i="2"/>
  <c r="H759" i="2"/>
  <c r="D766" i="2"/>
  <c r="D773" i="2" s="1"/>
  <c r="D780" i="2" s="1"/>
  <c r="D787" i="2" s="1"/>
  <c r="D794" i="2" s="1"/>
  <c r="C759" i="2"/>
  <c r="D764" i="2"/>
  <c r="D771" i="2" s="1"/>
  <c r="D778" i="2" s="1"/>
  <c r="D785" i="2" s="1"/>
  <c r="D792" i="2" s="1"/>
  <c r="C757" i="2"/>
  <c r="D758" i="2"/>
  <c r="C751" i="2"/>
  <c r="D526" i="2"/>
  <c r="C709" i="2"/>
  <c r="H647" i="2"/>
  <c r="D654" i="2"/>
  <c r="C647" i="2"/>
  <c r="D522" i="2"/>
  <c r="D529" i="2" s="1"/>
  <c r="D646" i="2"/>
  <c r="D653" i="2" s="1"/>
  <c r="C639" i="2"/>
  <c r="C515" i="2"/>
  <c r="H521" i="2"/>
  <c r="C521" i="2"/>
  <c r="D528" i="2"/>
  <c r="D523" i="2"/>
  <c r="C516" i="2"/>
  <c r="G520" i="2"/>
  <c r="F527" i="2"/>
  <c r="C520" i="2"/>
  <c r="D527" i="2"/>
  <c r="F540" i="2"/>
  <c r="G533" i="2"/>
  <c r="F530" i="2"/>
  <c r="G521" i="2"/>
  <c r="F528" i="2"/>
  <c r="F536" i="2"/>
  <c r="C448" i="2"/>
  <c r="D452" i="2"/>
  <c r="F458" i="2"/>
  <c r="F462" i="2" s="1"/>
  <c r="D451" i="2"/>
  <c r="H447" i="2"/>
  <c r="C447" i="2"/>
  <c r="C450" i="2"/>
  <c r="D454" i="2"/>
  <c r="G440" i="2"/>
  <c r="F444" i="2"/>
  <c r="C441" i="2"/>
  <c r="D445" i="2"/>
  <c r="H443" i="2"/>
  <c r="C443" i="2"/>
  <c r="C444" i="2"/>
  <c r="F445" i="2"/>
  <c r="G441" i="2"/>
  <c r="F443" i="2"/>
  <c r="G439" i="2"/>
  <c r="G525" i="2" l="1"/>
  <c r="F532" i="2"/>
  <c r="C532" i="2"/>
  <c r="D539" i="2"/>
  <c r="D703" i="2"/>
  <c r="C703" i="2" s="1"/>
  <c r="H696" i="2"/>
  <c r="D933" i="2"/>
  <c r="C933" i="2" s="1"/>
  <c r="C926" i="2"/>
  <c r="H878" i="2"/>
  <c r="D885" i="2"/>
  <c r="D892" i="2" s="1"/>
  <c r="D899" i="2" s="1"/>
  <c r="D906" i="2" s="1"/>
  <c r="C878" i="2"/>
  <c r="D870" i="2"/>
  <c r="C863" i="2"/>
  <c r="D799" i="2"/>
  <c r="D806" i="2" s="1"/>
  <c r="C792" i="2"/>
  <c r="H794" i="2"/>
  <c r="D801" i="2"/>
  <c r="D808" i="2" s="1"/>
  <c r="C794" i="2"/>
  <c r="H787" i="2"/>
  <c r="C787" i="2"/>
  <c r="C785" i="2"/>
  <c r="C778" i="2"/>
  <c r="H780" i="2"/>
  <c r="C780" i="2"/>
  <c r="C771" i="2"/>
  <c r="H773" i="2"/>
  <c r="C773" i="2"/>
  <c r="C526" i="2"/>
  <c r="D533" i="2"/>
  <c r="D765" i="2"/>
  <c r="C758" i="2"/>
  <c r="C764" i="2"/>
  <c r="H766" i="2"/>
  <c r="C766" i="2"/>
  <c r="C522" i="2"/>
  <c r="C646" i="2"/>
  <c r="H654" i="2"/>
  <c r="C654" i="2"/>
  <c r="C528" i="2"/>
  <c r="H528" i="2"/>
  <c r="D535" i="2"/>
  <c r="D530" i="2"/>
  <c r="C523" i="2"/>
  <c r="F534" i="2"/>
  <c r="G527" i="2"/>
  <c r="F547" i="2"/>
  <c r="G540" i="2"/>
  <c r="F537" i="2"/>
  <c r="F543" i="2"/>
  <c r="F550" i="2" s="1"/>
  <c r="C529" i="2"/>
  <c r="D536" i="2"/>
  <c r="F535" i="2"/>
  <c r="G528" i="2"/>
  <c r="D534" i="2"/>
  <c r="C527" i="2"/>
  <c r="F466" i="2"/>
  <c r="G445" i="2"/>
  <c r="F449" i="2"/>
  <c r="H451" i="2"/>
  <c r="C451" i="2"/>
  <c r="D455" i="2"/>
  <c r="G443" i="2"/>
  <c r="F447" i="2"/>
  <c r="D458" i="2"/>
  <c r="D462" i="2" s="1"/>
  <c r="C454" i="2"/>
  <c r="C445" i="2"/>
  <c r="D449" i="2"/>
  <c r="C452" i="2"/>
  <c r="G444" i="2"/>
  <c r="F448" i="2"/>
  <c r="D546" i="2" l="1"/>
  <c r="C539" i="2"/>
  <c r="G532" i="2"/>
  <c r="F539" i="2"/>
  <c r="H703" i="2"/>
  <c r="D710" i="2"/>
  <c r="C710" i="2" s="1"/>
  <c r="H906" i="2"/>
  <c r="D913" i="2"/>
  <c r="D920" i="2" s="1"/>
  <c r="C906" i="2"/>
  <c r="H899" i="2"/>
  <c r="C899" i="2"/>
  <c r="H892" i="2"/>
  <c r="C892" i="2"/>
  <c r="D877" i="2"/>
  <c r="C870" i="2"/>
  <c r="H885" i="2"/>
  <c r="C885" i="2"/>
  <c r="H808" i="2"/>
  <c r="D815" i="2"/>
  <c r="C808" i="2"/>
  <c r="D813" i="2"/>
  <c r="C806" i="2"/>
  <c r="H801" i="2"/>
  <c r="C801" i="2"/>
  <c r="C799" i="2"/>
  <c r="C533" i="2"/>
  <c r="D540" i="2"/>
  <c r="D547" i="2" s="1"/>
  <c r="D554" i="2" s="1"/>
  <c r="H710" i="2"/>
  <c r="C765" i="2"/>
  <c r="C772" i="2"/>
  <c r="C660" i="2"/>
  <c r="C653" i="2"/>
  <c r="H661" i="2"/>
  <c r="C530" i="2"/>
  <c r="D537" i="2"/>
  <c r="D542" i="2"/>
  <c r="C535" i="2"/>
  <c r="H535" i="2"/>
  <c r="G547" i="2"/>
  <c r="F554" i="2"/>
  <c r="F541" i="2"/>
  <c r="G534" i="2"/>
  <c r="F557" i="2"/>
  <c r="F542" i="2"/>
  <c r="G535" i="2"/>
  <c r="F544" i="2"/>
  <c r="F551" i="2" s="1"/>
  <c r="D541" i="2"/>
  <c r="C534" i="2"/>
  <c r="C536" i="2"/>
  <c r="D543" i="2"/>
  <c r="D550" i="2" s="1"/>
  <c r="F470" i="2"/>
  <c r="C462" i="2"/>
  <c r="D466" i="2"/>
  <c r="F451" i="2"/>
  <c r="G447" i="2"/>
  <c r="F453" i="2"/>
  <c r="G449" i="2"/>
  <c r="C458" i="2"/>
  <c r="F452" i="2"/>
  <c r="G448" i="2"/>
  <c r="C455" i="2"/>
  <c r="D459" i="2"/>
  <c r="D463" i="2" s="1"/>
  <c r="H455" i="2"/>
  <c r="D460" i="2"/>
  <c r="D464" i="2" s="1"/>
  <c r="C456" i="2"/>
  <c r="D453" i="2"/>
  <c r="C449" i="2"/>
  <c r="G539" i="2" l="1"/>
  <c r="F546" i="2"/>
  <c r="C546" i="2"/>
  <c r="D553" i="2"/>
  <c r="H920" i="2"/>
  <c r="D927" i="2"/>
  <c r="C920" i="2"/>
  <c r="H913" i="2"/>
  <c r="C913" i="2"/>
  <c r="C884" i="2"/>
  <c r="C877" i="2"/>
  <c r="D820" i="2"/>
  <c r="D827" i="2" s="1"/>
  <c r="D834" i="2" s="1"/>
  <c r="D841" i="2" s="1"/>
  <c r="D848" i="2" s="1"/>
  <c r="C813" i="2"/>
  <c r="H815" i="2"/>
  <c r="D822" i="2"/>
  <c r="C815" i="2"/>
  <c r="C540" i="2"/>
  <c r="H542" i="2"/>
  <c r="D549" i="2"/>
  <c r="C542" i="2"/>
  <c r="C537" i="2"/>
  <c r="D544" i="2"/>
  <c r="F558" i="2"/>
  <c r="F564" i="2"/>
  <c r="F548" i="2"/>
  <c r="G541" i="2"/>
  <c r="F561" i="2"/>
  <c r="G554" i="2"/>
  <c r="C550" i="2"/>
  <c r="D557" i="2"/>
  <c r="C554" i="2"/>
  <c r="D561" i="2"/>
  <c r="C541" i="2"/>
  <c r="C547" i="2"/>
  <c r="C543" i="2"/>
  <c r="F549" i="2"/>
  <c r="G542" i="2"/>
  <c r="C466" i="2"/>
  <c r="D470" i="2"/>
  <c r="C464" i="2"/>
  <c r="D468" i="2"/>
  <c r="D467" i="2"/>
  <c r="H463" i="2"/>
  <c r="C463" i="2"/>
  <c r="F474" i="2"/>
  <c r="G453" i="2"/>
  <c r="F457" i="2"/>
  <c r="H459" i="2"/>
  <c r="C459" i="2"/>
  <c r="F456" i="2"/>
  <c r="G452" i="2"/>
  <c r="C453" i="2"/>
  <c r="D457" i="2"/>
  <c r="C460" i="2"/>
  <c r="G451" i="2"/>
  <c r="F455" i="2"/>
  <c r="G546" i="2" l="1"/>
  <c r="F553" i="2"/>
  <c r="C553" i="2"/>
  <c r="D560" i="2"/>
  <c r="H927" i="2"/>
  <c r="D934" i="2"/>
  <c r="C927" i="2"/>
  <c r="D855" i="2"/>
  <c r="D862" i="2" s="1"/>
  <c r="C848" i="2"/>
  <c r="C841" i="2"/>
  <c r="C834" i="2"/>
  <c r="C827" i="2"/>
  <c r="H822" i="2"/>
  <c r="C822" i="2"/>
  <c r="C820" i="2"/>
  <c r="D551" i="2"/>
  <c r="C544" i="2"/>
  <c r="D556" i="2"/>
  <c r="H549" i="2"/>
  <c r="C549" i="2"/>
  <c r="C557" i="2"/>
  <c r="D564" i="2"/>
  <c r="F568" i="2"/>
  <c r="G561" i="2"/>
  <c r="C548" i="2"/>
  <c r="D555" i="2"/>
  <c r="G548" i="2"/>
  <c r="F555" i="2"/>
  <c r="D568" i="2"/>
  <c r="C561" i="2"/>
  <c r="G549" i="2"/>
  <c r="F556" i="2"/>
  <c r="F571" i="2"/>
  <c r="F578" i="2" s="1"/>
  <c r="F565" i="2"/>
  <c r="F478" i="2"/>
  <c r="D472" i="2"/>
  <c r="C468" i="2"/>
  <c r="C467" i="2"/>
  <c r="H467" i="2"/>
  <c r="D471" i="2"/>
  <c r="D474" i="2"/>
  <c r="C470" i="2"/>
  <c r="G456" i="2"/>
  <c r="F460" i="2"/>
  <c r="D461" i="2"/>
  <c r="C457" i="2"/>
  <c r="F459" i="2"/>
  <c r="G455" i="2"/>
  <c r="F461" i="2"/>
  <c r="G457" i="2"/>
  <c r="D567" i="2" l="1"/>
  <c r="C560" i="2"/>
  <c r="G553" i="2"/>
  <c r="F560" i="2"/>
  <c r="H934" i="2"/>
  <c r="C934" i="2"/>
  <c r="D869" i="2"/>
  <c r="C862" i="2"/>
  <c r="C855" i="2"/>
  <c r="C551" i="2"/>
  <c r="D558" i="2"/>
  <c r="C556" i="2"/>
  <c r="H556" i="2"/>
  <c r="D563" i="2"/>
  <c r="F585" i="2"/>
  <c r="F563" i="2"/>
  <c r="G556" i="2"/>
  <c r="D562" i="2"/>
  <c r="C555" i="2"/>
  <c r="F575" i="2"/>
  <c r="G568" i="2"/>
  <c r="F572" i="2"/>
  <c r="F579" i="2" s="1"/>
  <c r="C564" i="2"/>
  <c r="D571" i="2"/>
  <c r="D578" i="2" s="1"/>
  <c r="F562" i="2"/>
  <c r="G555" i="2"/>
  <c r="D575" i="2"/>
  <c r="D582" i="2" s="1"/>
  <c r="C568" i="2"/>
  <c r="C474" i="2"/>
  <c r="D478" i="2"/>
  <c r="C471" i="2"/>
  <c r="D475" i="2"/>
  <c r="H471" i="2"/>
  <c r="G461" i="2"/>
  <c r="F465" i="2"/>
  <c r="C472" i="2"/>
  <c r="D476" i="2"/>
  <c r="G459" i="2"/>
  <c r="F463" i="2"/>
  <c r="C461" i="2"/>
  <c r="D465" i="2"/>
  <c r="G460" i="2"/>
  <c r="F464" i="2"/>
  <c r="F482" i="2"/>
  <c r="G560" i="2" l="1"/>
  <c r="F567" i="2"/>
  <c r="C567" i="2"/>
  <c r="D574" i="2"/>
  <c r="D876" i="2"/>
  <c r="C869" i="2"/>
  <c r="D589" i="2"/>
  <c r="C582" i="2"/>
  <c r="C563" i="2"/>
  <c r="H563" i="2"/>
  <c r="D570" i="2"/>
  <c r="F592" i="2"/>
  <c r="F599" i="2" s="1"/>
  <c r="F606" i="2" s="1"/>
  <c r="F613" i="2" s="1"/>
  <c r="F620" i="2" s="1"/>
  <c r="F586" i="2"/>
  <c r="C578" i="2"/>
  <c r="D585" i="2"/>
  <c r="D565" i="2"/>
  <c r="C558" i="2"/>
  <c r="G575" i="2"/>
  <c r="F582" i="2"/>
  <c r="C571" i="2"/>
  <c r="F570" i="2"/>
  <c r="G563" i="2"/>
  <c r="D569" i="2"/>
  <c r="C562" i="2"/>
  <c r="C575" i="2"/>
  <c r="F569" i="2"/>
  <c r="G562" i="2"/>
  <c r="C476" i="2"/>
  <c r="D480" i="2"/>
  <c r="G465" i="2"/>
  <c r="F469" i="2"/>
  <c r="F468" i="2"/>
  <c r="G464" i="2"/>
  <c r="H475" i="2"/>
  <c r="C475" i="2"/>
  <c r="D479" i="2"/>
  <c r="D482" i="2"/>
  <c r="C478" i="2"/>
  <c r="D469" i="2"/>
  <c r="C465" i="2"/>
  <c r="F467" i="2"/>
  <c r="G463" i="2"/>
  <c r="C574" i="2" l="1"/>
  <c r="D581" i="2"/>
  <c r="G567" i="2"/>
  <c r="F574" i="2"/>
  <c r="D883" i="2"/>
  <c r="D890" i="2" s="1"/>
  <c r="D897" i="2" s="1"/>
  <c r="D904" i="2" s="1"/>
  <c r="C876" i="2"/>
  <c r="F627" i="2"/>
  <c r="F634" i="2" s="1"/>
  <c r="H570" i="2"/>
  <c r="D577" i="2"/>
  <c r="C570" i="2"/>
  <c r="F593" i="2"/>
  <c r="F600" i="2" s="1"/>
  <c r="F607" i="2" s="1"/>
  <c r="F614" i="2" s="1"/>
  <c r="F621" i="2" s="1"/>
  <c r="D572" i="2"/>
  <c r="C565" i="2"/>
  <c r="F589" i="2"/>
  <c r="G582" i="2"/>
  <c r="D596" i="2"/>
  <c r="D603" i="2" s="1"/>
  <c r="C589" i="2"/>
  <c r="C585" i="2"/>
  <c r="D592" i="2"/>
  <c r="D599" i="2" s="1"/>
  <c r="F576" i="2"/>
  <c r="G569" i="2"/>
  <c r="D576" i="2"/>
  <c r="C569" i="2"/>
  <c r="F577" i="2"/>
  <c r="G570" i="2"/>
  <c r="F472" i="2"/>
  <c r="G468" i="2"/>
  <c r="F473" i="2"/>
  <c r="G469" i="2"/>
  <c r="G467" i="2"/>
  <c r="F471" i="2"/>
  <c r="D484" i="2"/>
  <c r="C480" i="2"/>
  <c r="C482" i="2"/>
  <c r="C479" i="2"/>
  <c r="H479" i="2"/>
  <c r="D483" i="2"/>
  <c r="C469" i="2"/>
  <c r="D473" i="2"/>
  <c r="G574" i="2" l="1"/>
  <c r="F581" i="2"/>
  <c r="D588" i="2"/>
  <c r="C581" i="2"/>
  <c r="D911" i="2"/>
  <c r="D918" i="2" s="1"/>
  <c r="C904" i="2"/>
  <c r="C897" i="2"/>
  <c r="C890" i="2"/>
  <c r="C883" i="2"/>
  <c r="F641" i="2"/>
  <c r="F628" i="2"/>
  <c r="F635" i="2" s="1"/>
  <c r="D610" i="2"/>
  <c r="C603" i="2"/>
  <c r="D606" i="2"/>
  <c r="C599" i="2"/>
  <c r="D579" i="2"/>
  <c r="C572" i="2"/>
  <c r="F596" i="2"/>
  <c r="G589" i="2"/>
  <c r="C592" i="2"/>
  <c r="D584" i="2"/>
  <c r="H577" i="2"/>
  <c r="C577" i="2"/>
  <c r="G577" i="2"/>
  <c r="F584" i="2"/>
  <c r="C576" i="2"/>
  <c r="D583" i="2"/>
  <c r="G576" i="2"/>
  <c r="F583" i="2"/>
  <c r="C596" i="2"/>
  <c r="F475" i="2"/>
  <c r="G471" i="2"/>
  <c r="F477" i="2"/>
  <c r="G473" i="2"/>
  <c r="C484" i="2"/>
  <c r="D477" i="2"/>
  <c r="C473" i="2"/>
  <c r="H483" i="2"/>
  <c r="C483" i="2"/>
  <c r="F476" i="2"/>
  <c r="G472" i="2"/>
  <c r="C588" i="2" l="1"/>
  <c r="D595" i="2"/>
  <c r="G581" i="2"/>
  <c r="F588" i="2"/>
  <c r="D925" i="2"/>
  <c r="C918" i="2"/>
  <c r="C911" i="2"/>
  <c r="F642" i="2"/>
  <c r="F648" i="2"/>
  <c r="D613" i="2"/>
  <c r="D620" i="2" s="1"/>
  <c r="C606" i="2"/>
  <c r="G596" i="2"/>
  <c r="F603" i="2"/>
  <c r="D617" i="2"/>
  <c r="D624" i="2" s="1"/>
  <c r="C610" i="2"/>
  <c r="F590" i="2"/>
  <c r="G583" i="2"/>
  <c r="H584" i="2"/>
  <c r="D591" i="2"/>
  <c r="C584" i="2"/>
  <c r="D590" i="2"/>
  <c r="C583" i="2"/>
  <c r="F591" i="2"/>
  <c r="G584" i="2"/>
  <c r="D586" i="2"/>
  <c r="C579" i="2"/>
  <c r="G475" i="2"/>
  <c r="F479" i="2"/>
  <c r="F480" i="2"/>
  <c r="G476" i="2"/>
  <c r="C477" i="2"/>
  <c r="D481" i="2"/>
  <c r="G477" i="2"/>
  <c r="F481" i="2"/>
  <c r="G588" i="2" l="1"/>
  <c r="F595" i="2"/>
  <c r="D602" i="2"/>
  <c r="C595" i="2"/>
  <c r="D932" i="2"/>
  <c r="C925" i="2"/>
  <c r="F655" i="2"/>
  <c r="F662" i="2" s="1"/>
  <c r="F649" i="2"/>
  <c r="D631" i="2"/>
  <c r="D638" i="2" s="1"/>
  <c r="C624" i="2"/>
  <c r="D627" i="2"/>
  <c r="D634" i="2" s="1"/>
  <c r="C620" i="2"/>
  <c r="G603" i="2"/>
  <c r="F610" i="2"/>
  <c r="C617" i="2"/>
  <c r="C613" i="2"/>
  <c r="D593" i="2"/>
  <c r="D600" i="2" s="1"/>
  <c r="C586" i="2"/>
  <c r="F598" i="2"/>
  <c r="G591" i="2"/>
  <c r="H591" i="2"/>
  <c r="D598" i="2"/>
  <c r="C591" i="2"/>
  <c r="D597" i="2"/>
  <c r="C597" i="2" s="1"/>
  <c r="C590" i="2"/>
  <c r="F597" i="2"/>
  <c r="G590" i="2"/>
  <c r="D485" i="2"/>
  <c r="C485" i="2" s="1"/>
  <c r="C481" i="2"/>
  <c r="F483" i="2"/>
  <c r="G483" i="2" s="1"/>
  <c r="G479" i="2"/>
  <c r="F485" i="2"/>
  <c r="G485" i="2" s="1"/>
  <c r="G481" i="2"/>
  <c r="G480" i="2"/>
  <c r="F484" i="2"/>
  <c r="G484" i="2" s="1"/>
  <c r="C602" i="2" l="1"/>
  <c r="D609" i="2"/>
  <c r="G595" i="2"/>
  <c r="F602" i="2"/>
  <c r="C932" i="2"/>
  <c r="F669" i="2"/>
  <c r="C638" i="2"/>
  <c r="D645" i="2"/>
  <c r="C634" i="2"/>
  <c r="D641" i="2"/>
  <c r="F656" i="2"/>
  <c r="F663" i="2" s="1"/>
  <c r="C631" i="2"/>
  <c r="C627" i="2"/>
  <c r="G598" i="2"/>
  <c r="F605" i="2"/>
  <c r="D607" i="2"/>
  <c r="C600" i="2"/>
  <c r="G597" i="2"/>
  <c r="F604" i="2"/>
  <c r="G610" i="2"/>
  <c r="F617" i="2"/>
  <c r="H598" i="2"/>
  <c r="C598" i="2"/>
  <c r="C593" i="2"/>
  <c r="G602" i="2" l="1"/>
  <c r="F609" i="2"/>
  <c r="C609" i="2"/>
  <c r="D616" i="2"/>
  <c r="F676" i="2"/>
  <c r="F670" i="2"/>
  <c r="C641" i="2"/>
  <c r="D648" i="2"/>
  <c r="D652" i="2"/>
  <c r="C645" i="2"/>
  <c r="G617" i="2"/>
  <c r="F624" i="2"/>
  <c r="G605" i="2"/>
  <c r="F612" i="2"/>
  <c r="F611" i="2"/>
  <c r="G604" i="2"/>
  <c r="D614" i="2"/>
  <c r="D621" i="2" s="1"/>
  <c r="C607" i="2"/>
  <c r="G609" i="2" l="1"/>
  <c r="F616" i="2"/>
  <c r="C616" i="2"/>
  <c r="D623" i="2"/>
  <c r="F677" i="2"/>
  <c r="F683" i="2"/>
  <c r="C648" i="2"/>
  <c r="D655" i="2"/>
  <c r="D662" i="2" s="1"/>
  <c r="D659" i="2"/>
  <c r="D666" i="2" s="1"/>
  <c r="C652" i="2"/>
  <c r="F631" i="2"/>
  <c r="G624" i="2"/>
  <c r="D628" i="2"/>
  <c r="D635" i="2" s="1"/>
  <c r="C621" i="2"/>
  <c r="C614" i="2"/>
  <c r="G611" i="2"/>
  <c r="F618" i="2"/>
  <c r="G612" i="2"/>
  <c r="F619" i="2"/>
  <c r="C623" i="2" l="1"/>
  <c r="D630" i="2"/>
  <c r="F623" i="2"/>
  <c r="G616" i="2"/>
  <c r="C666" i="2"/>
  <c r="C662" i="2"/>
  <c r="D669" i="2"/>
  <c r="F690" i="2"/>
  <c r="D673" i="2"/>
  <c r="F684" i="2"/>
  <c r="D642" i="2"/>
  <c r="C635" i="2"/>
  <c r="G631" i="2"/>
  <c r="F638" i="2"/>
  <c r="C659" i="2"/>
  <c r="C655" i="2"/>
  <c r="G618" i="2"/>
  <c r="F625" i="2"/>
  <c r="G619" i="2"/>
  <c r="F626" i="2"/>
  <c r="C628" i="2"/>
  <c r="D637" i="2" l="1"/>
  <c r="C630" i="2"/>
  <c r="G623" i="2"/>
  <c r="F630" i="2"/>
  <c r="F697" i="2"/>
  <c r="F691" i="2"/>
  <c r="D680" i="2"/>
  <c r="C673" i="2"/>
  <c r="D676" i="2"/>
  <c r="C669" i="2"/>
  <c r="F645" i="2"/>
  <c r="G638" i="2"/>
  <c r="D649" i="2"/>
  <c r="C642" i="2"/>
  <c r="F633" i="2"/>
  <c r="G626" i="2"/>
  <c r="F632" i="2"/>
  <c r="G625" i="2"/>
  <c r="C637" i="2" l="1"/>
  <c r="D644" i="2"/>
  <c r="G630" i="2"/>
  <c r="F637" i="2"/>
  <c r="F704" i="2"/>
  <c r="F711" i="2" s="1"/>
  <c r="F718" i="2" s="1"/>
  <c r="D683" i="2"/>
  <c r="C676" i="2"/>
  <c r="C680" i="2"/>
  <c r="D687" i="2"/>
  <c r="F698" i="2"/>
  <c r="G632" i="2"/>
  <c r="F639" i="2"/>
  <c r="G633" i="2"/>
  <c r="F640" i="2"/>
  <c r="D656" i="2"/>
  <c r="D663" i="2" s="1"/>
  <c r="C649" i="2"/>
  <c r="F652" i="2"/>
  <c r="G645" i="2"/>
  <c r="G637" i="2" l="1"/>
  <c r="F644" i="2"/>
  <c r="C644" i="2"/>
  <c r="D651" i="2"/>
  <c r="F725" i="2"/>
  <c r="F732" i="2" s="1"/>
  <c r="C663" i="2"/>
  <c r="C687" i="2"/>
  <c r="D694" i="2"/>
  <c r="F705" i="2"/>
  <c r="F712" i="2" s="1"/>
  <c r="F719" i="2" s="1"/>
  <c r="D670" i="2"/>
  <c r="D690" i="2"/>
  <c r="C683" i="2"/>
  <c r="F659" i="2"/>
  <c r="F666" i="2" s="1"/>
  <c r="G666" i="2" s="1"/>
  <c r="G652" i="2"/>
  <c r="C656" i="2"/>
  <c r="F647" i="2"/>
  <c r="G640" i="2"/>
  <c r="F646" i="2"/>
  <c r="G639" i="2"/>
  <c r="G644" i="2" l="1"/>
  <c r="F651" i="2"/>
  <c r="D658" i="2"/>
  <c r="C651" i="2"/>
  <c r="F739" i="2"/>
  <c r="F746" i="2" s="1"/>
  <c r="F726" i="2"/>
  <c r="F733" i="2" s="1"/>
  <c r="D677" i="2"/>
  <c r="C670" i="2"/>
  <c r="C690" i="2"/>
  <c r="D697" i="2"/>
  <c r="D701" i="2"/>
  <c r="C694" i="2"/>
  <c r="G659" i="2"/>
  <c r="G646" i="2"/>
  <c r="F653" i="2"/>
  <c r="F654" i="2"/>
  <c r="G647" i="2"/>
  <c r="C658" i="2" l="1"/>
  <c r="D665" i="2"/>
  <c r="G651" i="2"/>
  <c r="F658" i="2"/>
  <c r="F753" i="2"/>
  <c r="F740" i="2"/>
  <c r="F747" i="2" s="1"/>
  <c r="F673" i="2"/>
  <c r="C697" i="2"/>
  <c r="D704" i="2"/>
  <c r="D711" i="2" s="1"/>
  <c r="D718" i="2" s="1"/>
  <c r="D708" i="2"/>
  <c r="C701" i="2"/>
  <c r="D684" i="2"/>
  <c r="C677" i="2"/>
  <c r="F661" i="2"/>
  <c r="F668" i="2" s="1"/>
  <c r="G668" i="2" s="1"/>
  <c r="G654" i="2"/>
  <c r="F660" i="2"/>
  <c r="F667" i="2" s="1"/>
  <c r="G667" i="2" s="1"/>
  <c r="G653" i="2"/>
  <c r="G658" i="2" l="1"/>
  <c r="F665" i="2"/>
  <c r="C665" i="2"/>
  <c r="D672" i="2"/>
  <c r="F754" i="2"/>
  <c r="F760" i="2"/>
  <c r="F767" i="2" s="1"/>
  <c r="F774" i="2" s="1"/>
  <c r="F781" i="2" s="1"/>
  <c r="F788" i="2" s="1"/>
  <c r="C718" i="2"/>
  <c r="D725" i="2"/>
  <c r="D732" i="2" s="1"/>
  <c r="C711" i="2"/>
  <c r="G660" i="2"/>
  <c r="F680" i="2"/>
  <c r="G673" i="2"/>
  <c r="G661" i="2"/>
  <c r="D691" i="2"/>
  <c r="C684" i="2"/>
  <c r="C708" i="2"/>
  <c r="C704" i="2"/>
  <c r="C672" i="2" l="1"/>
  <c r="D679" i="2"/>
  <c r="G665" i="2"/>
  <c r="F672" i="2"/>
  <c r="F795" i="2"/>
  <c r="F802" i="2" s="1"/>
  <c r="F761" i="2"/>
  <c r="F768" i="2" s="1"/>
  <c r="F775" i="2" s="1"/>
  <c r="F782" i="2" s="1"/>
  <c r="F789" i="2" s="1"/>
  <c r="D739" i="2"/>
  <c r="D746" i="2" s="1"/>
  <c r="C732" i="2"/>
  <c r="C725" i="2"/>
  <c r="D698" i="2"/>
  <c r="C691" i="2"/>
  <c r="F674" i="2"/>
  <c r="F675" i="2"/>
  <c r="F687" i="2"/>
  <c r="G680" i="2"/>
  <c r="G672" i="2" l="1"/>
  <c r="F679" i="2"/>
  <c r="C679" i="2"/>
  <c r="D686" i="2"/>
  <c r="F809" i="2"/>
  <c r="F796" i="2"/>
  <c r="F803" i="2" s="1"/>
  <c r="C746" i="2"/>
  <c r="D753" i="2"/>
  <c r="C739" i="2"/>
  <c r="F682" i="2"/>
  <c r="G675" i="2"/>
  <c r="F681" i="2"/>
  <c r="G674" i="2"/>
  <c r="D705" i="2"/>
  <c r="D712" i="2" s="1"/>
  <c r="D719" i="2" s="1"/>
  <c r="C698" i="2"/>
  <c r="G687" i="2"/>
  <c r="F694" i="2"/>
  <c r="C686" i="2" l="1"/>
  <c r="D693" i="2"/>
  <c r="G679" i="2"/>
  <c r="F686" i="2"/>
  <c r="F810" i="2"/>
  <c r="F816" i="2"/>
  <c r="F823" i="2" s="1"/>
  <c r="F830" i="2" s="1"/>
  <c r="F837" i="2" s="1"/>
  <c r="F844" i="2" s="1"/>
  <c r="D760" i="2"/>
  <c r="D767" i="2" s="1"/>
  <c r="D774" i="2" s="1"/>
  <c r="D781" i="2" s="1"/>
  <c r="D788" i="2" s="1"/>
  <c r="C753" i="2"/>
  <c r="C719" i="2"/>
  <c r="D726" i="2"/>
  <c r="D733" i="2" s="1"/>
  <c r="C712" i="2"/>
  <c r="C705" i="2"/>
  <c r="F688" i="2"/>
  <c r="G681" i="2"/>
  <c r="F689" i="2"/>
  <c r="G682" i="2"/>
  <c r="F701" i="2"/>
  <c r="G694" i="2"/>
  <c r="C693" i="2" l="1"/>
  <c r="D700" i="2"/>
  <c r="G686" i="2"/>
  <c r="F693" i="2"/>
  <c r="F851" i="2"/>
  <c r="F858" i="2" s="1"/>
  <c r="F817" i="2"/>
  <c r="F824" i="2" s="1"/>
  <c r="F831" i="2" s="1"/>
  <c r="F838" i="2" s="1"/>
  <c r="F845" i="2" s="1"/>
  <c r="C788" i="2"/>
  <c r="D795" i="2"/>
  <c r="D802" i="2" s="1"/>
  <c r="C781" i="2"/>
  <c r="C774" i="2"/>
  <c r="C767" i="2"/>
  <c r="C760" i="2"/>
  <c r="D740" i="2"/>
  <c r="D747" i="2" s="1"/>
  <c r="C733" i="2"/>
  <c r="C726" i="2"/>
  <c r="F696" i="2"/>
  <c r="G689" i="2"/>
  <c r="F695" i="2"/>
  <c r="G688" i="2"/>
  <c r="F708" i="2"/>
  <c r="F715" i="2" s="1"/>
  <c r="F722" i="2" s="1"/>
  <c r="G701" i="2"/>
  <c r="G693" i="2" l="1"/>
  <c r="F700" i="2"/>
  <c r="C700" i="2"/>
  <c r="D707" i="2"/>
  <c r="F865" i="2"/>
  <c r="F852" i="2"/>
  <c r="F859" i="2" s="1"/>
  <c r="C802" i="2"/>
  <c r="D809" i="2"/>
  <c r="C795" i="2"/>
  <c r="D754" i="2"/>
  <c r="C747" i="2"/>
  <c r="C740" i="2"/>
  <c r="G722" i="2"/>
  <c r="F729" i="2"/>
  <c r="G715" i="2"/>
  <c r="G708" i="2"/>
  <c r="F703" i="2"/>
  <c r="G696" i="2"/>
  <c r="F702" i="2"/>
  <c r="G695" i="2"/>
  <c r="C707" i="2" l="1"/>
  <c r="D714" i="2"/>
  <c r="G700" i="2"/>
  <c r="F707" i="2"/>
  <c r="F872" i="2"/>
  <c r="F866" i="2"/>
  <c r="C809" i="2"/>
  <c r="D816" i="2"/>
  <c r="D823" i="2" s="1"/>
  <c r="D830" i="2" s="1"/>
  <c r="D837" i="2" s="1"/>
  <c r="D844" i="2" s="1"/>
  <c r="D761" i="2"/>
  <c r="D768" i="2" s="1"/>
  <c r="D775" i="2" s="1"/>
  <c r="D782" i="2" s="1"/>
  <c r="D789" i="2" s="1"/>
  <c r="C754" i="2"/>
  <c r="G729" i="2"/>
  <c r="F736" i="2"/>
  <c r="F709" i="2"/>
  <c r="F716" i="2" s="1"/>
  <c r="F723" i="2" s="1"/>
  <c r="G702" i="2"/>
  <c r="F710" i="2"/>
  <c r="F717" i="2" s="1"/>
  <c r="F724" i="2" s="1"/>
  <c r="G703" i="2"/>
  <c r="G707" i="2" l="1"/>
  <c r="F714" i="2"/>
  <c r="C714" i="2"/>
  <c r="D721" i="2"/>
  <c r="F873" i="2"/>
  <c r="F879" i="2"/>
  <c r="F886" i="2" s="1"/>
  <c r="F893" i="2" s="1"/>
  <c r="F900" i="2" s="1"/>
  <c r="C844" i="2"/>
  <c r="D851" i="2"/>
  <c r="D858" i="2" s="1"/>
  <c r="C837" i="2"/>
  <c r="C830" i="2"/>
  <c r="C823" i="2"/>
  <c r="C816" i="2"/>
  <c r="D796" i="2"/>
  <c r="D803" i="2" s="1"/>
  <c r="C789" i="2"/>
  <c r="C782" i="2"/>
  <c r="C775" i="2"/>
  <c r="C768" i="2"/>
  <c r="C761" i="2"/>
  <c r="F743" i="2"/>
  <c r="G736" i="2"/>
  <c r="G724" i="2"/>
  <c r="F731" i="2"/>
  <c r="G723" i="2"/>
  <c r="F730" i="2"/>
  <c r="G717" i="2"/>
  <c r="G716" i="2"/>
  <c r="G710" i="2"/>
  <c r="G709" i="2"/>
  <c r="G714" i="2" l="1"/>
  <c r="F721" i="2"/>
  <c r="D728" i="2"/>
  <c r="C721" i="2"/>
  <c r="F907" i="2"/>
  <c r="F914" i="2" s="1"/>
  <c r="F880" i="2"/>
  <c r="F887" i="2" s="1"/>
  <c r="F894" i="2" s="1"/>
  <c r="F901" i="2" s="1"/>
  <c r="C858" i="2"/>
  <c r="D865" i="2"/>
  <c r="C851" i="2"/>
  <c r="D810" i="2"/>
  <c r="C803" i="2"/>
  <c r="C796" i="2"/>
  <c r="G743" i="2"/>
  <c r="F750" i="2"/>
  <c r="G730" i="2"/>
  <c r="F737" i="2"/>
  <c r="G731" i="2"/>
  <c r="F738" i="2"/>
  <c r="C728" i="2" l="1"/>
  <c r="D735" i="2"/>
  <c r="G721" i="2"/>
  <c r="F728" i="2"/>
  <c r="F921" i="2"/>
  <c r="F908" i="2"/>
  <c r="F915" i="2" s="1"/>
  <c r="C865" i="2"/>
  <c r="D872" i="2"/>
  <c r="D817" i="2"/>
  <c r="D824" i="2" s="1"/>
  <c r="D831" i="2" s="1"/>
  <c r="D838" i="2" s="1"/>
  <c r="D845" i="2" s="1"/>
  <c r="C810" i="2"/>
  <c r="F757" i="2"/>
  <c r="G750" i="2"/>
  <c r="F744" i="2"/>
  <c r="G737" i="2"/>
  <c r="F745" i="2"/>
  <c r="G738" i="2"/>
  <c r="G728" i="2" l="1"/>
  <c r="F735" i="2"/>
  <c r="C735" i="2"/>
  <c r="D742" i="2"/>
  <c r="F922" i="2"/>
  <c r="F928" i="2"/>
  <c r="D879" i="2"/>
  <c r="D886" i="2" s="1"/>
  <c r="D893" i="2" s="1"/>
  <c r="D900" i="2" s="1"/>
  <c r="C872" i="2"/>
  <c r="D852" i="2"/>
  <c r="D859" i="2" s="1"/>
  <c r="C845" i="2"/>
  <c r="C838" i="2"/>
  <c r="C831" i="2"/>
  <c r="C824" i="2"/>
  <c r="C817" i="2"/>
  <c r="G745" i="2"/>
  <c r="F752" i="2"/>
  <c r="G744" i="2"/>
  <c r="F751" i="2"/>
  <c r="F764" i="2"/>
  <c r="G757" i="2"/>
  <c r="D749" i="2" l="1"/>
  <c r="C742" i="2"/>
  <c r="G735" i="2"/>
  <c r="F742" i="2"/>
  <c r="F929" i="2"/>
  <c r="D907" i="2"/>
  <c r="D914" i="2" s="1"/>
  <c r="C900" i="2"/>
  <c r="C893" i="2"/>
  <c r="C886" i="2"/>
  <c r="D866" i="2"/>
  <c r="C859" i="2"/>
  <c r="C879" i="2"/>
  <c r="C852" i="2"/>
  <c r="G764" i="2"/>
  <c r="F771" i="2"/>
  <c r="F758" i="2"/>
  <c r="G751" i="2"/>
  <c r="F759" i="2"/>
  <c r="G752" i="2"/>
  <c r="G742" i="2" l="1"/>
  <c r="F749" i="2"/>
  <c r="C749" i="2"/>
  <c r="D756" i="2"/>
  <c r="C914" i="2"/>
  <c r="D921" i="2"/>
  <c r="C907" i="2"/>
  <c r="D873" i="2"/>
  <c r="C866" i="2"/>
  <c r="G771" i="2"/>
  <c r="F778" i="2"/>
  <c r="F765" i="2"/>
  <c r="G758" i="2"/>
  <c r="F766" i="2"/>
  <c r="G759" i="2"/>
  <c r="F756" i="2" l="1"/>
  <c r="G749" i="2"/>
  <c r="D763" i="2"/>
  <c r="C756" i="2"/>
  <c r="D928" i="2"/>
  <c r="C921" i="2"/>
  <c r="D880" i="2"/>
  <c r="D887" i="2" s="1"/>
  <c r="D894" i="2" s="1"/>
  <c r="D901" i="2" s="1"/>
  <c r="C873" i="2"/>
  <c r="G778" i="2"/>
  <c r="F785" i="2"/>
  <c r="G766" i="2"/>
  <c r="F773" i="2"/>
  <c r="G765" i="2"/>
  <c r="F772" i="2"/>
  <c r="G756" i="2" l="1"/>
  <c r="F763" i="2"/>
  <c r="C763" i="2"/>
  <c r="D770" i="2"/>
  <c r="C928" i="2"/>
  <c r="D908" i="2"/>
  <c r="D915" i="2" s="1"/>
  <c r="C901" i="2"/>
  <c r="C894" i="2"/>
  <c r="C887" i="2"/>
  <c r="C880" i="2"/>
  <c r="G785" i="2"/>
  <c r="F792" i="2"/>
  <c r="G773" i="2"/>
  <c r="F780" i="2"/>
  <c r="G772" i="2"/>
  <c r="F779" i="2"/>
  <c r="G763" i="2" l="1"/>
  <c r="F770" i="2"/>
  <c r="D777" i="2"/>
  <c r="C770" i="2"/>
  <c r="D922" i="2"/>
  <c r="C915" i="2"/>
  <c r="C908" i="2"/>
  <c r="F799" i="2"/>
  <c r="G792" i="2"/>
  <c r="G780" i="2"/>
  <c r="F787" i="2"/>
  <c r="G779" i="2"/>
  <c r="F786" i="2"/>
  <c r="F777" i="2" l="1"/>
  <c r="G770" i="2"/>
  <c r="C777" i="2"/>
  <c r="D784" i="2"/>
  <c r="D929" i="2"/>
  <c r="C922" i="2"/>
  <c r="G799" i="2"/>
  <c r="F806" i="2"/>
  <c r="G786" i="2"/>
  <c r="F793" i="2"/>
  <c r="G787" i="2"/>
  <c r="F794" i="2"/>
  <c r="G777" i="2" l="1"/>
  <c r="F784" i="2"/>
  <c r="C784" i="2"/>
  <c r="D791" i="2"/>
  <c r="C929" i="2"/>
  <c r="F813" i="2"/>
  <c r="G806" i="2"/>
  <c r="F801" i="2"/>
  <c r="G794" i="2"/>
  <c r="F800" i="2"/>
  <c r="G793" i="2"/>
  <c r="C791" i="2" l="1"/>
  <c r="D798" i="2"/>
  <c r="G784" i="2"/>
  <c r="F791" i="2"/>
  <c r="G801" i="2"/>
  <c r="F808" i="2"/>
  <c r="G800" i="2"/>
  <c r="F807" i="2"/>
  <c r="F820" i="2"/>
  <c r="G813" i="2"/>
  <c r="C798" i="2" l="1"/>
  <c r="D805" i="2"/>
  <c r="G791" i="2"/>
  <c r="F798" i="2"/>
  <c r="G820" i="2"/>
  <c r="F827" i="2"/>
  <c r="F814" i="2"/>
  <c r="G807" i="2"/>
  <c r="F815" i="2"/>
  <c r="G808" i="2"/>
  <c r="D812" i="2" l="1"/>
  <c r="C805" i="2"/>
  <c r="G798" i="2"/>
  <c r="F805" i="2"/>
  <c r="G827" i="2"/>
  <c r="F834" i="2"/>
  <c r="F822" i="2"/>
  <c r="G815" i="2"/>
  <c r="F821" i="2"/>
  <c r="G814" i="2"/>
  <c r="G805" i="2" l="1"/>
  <c r="F812" i="2"/>
  <c r="D819" i="2"/>
  <c r="C812" i="2"/>
  <c r="G834" i="2"/>
  <c r="F841" i="2"/>
  <c r="G821" i="2"/>
  <c r="F828" i="2"/>
  <c r="G822" i="2"/>
  <c r="F829" i="2"/>
  <c r="C819" i="2" l="1"/>
  <c r="D826" i="2"/>
  <c r="G812" i="2"/>
  <c r="F819" i="2"/>
  <c r="G841" i="2"/>
  <c r="F848" i="2"/>
  <c r="G829" i="2"/>
  <c r="F836" i="2"/>
  <c r="G828" i="2"/>
  <c r="F835" i="2"/>
  <c r="G819" i="2" l="1"/>
  <c r="F826" i="2"/>
  <c r="C826" i="2"/>
  <c r="D833" i="2"/>
  <c r="F855" i="2"/>
  <c r="G848" i="2"/>
  <c r="G835" i="2"/>
  <c r="F842" i="2"/>
  <c r="G836" i="2"/>
  <c r="F843" i="2"/>
  <c r="C833" i="2" l="1"/>
  <c r="D840" i="2"/>
  <c r="G826" i="2"/>
  <c r="F833" i="2"/>
  <c r="G855" i="2"/>
  <c r="F862" i="2"/>
  <c r="G843" i="2"/>
  <c r="F850" i="2"/>
  <c r="G842" i="2"/>
  <c r="F849" i="2"/>
  <c r="C840" i="2" l="1"/>
  <c r="D847" i="2"/>
  <c r="G833" i="2"/>
  <c r="F840" i="2"/>
  <c r="F869" i="2"/>
  <c r="G862" i="2"/>
  <c r="F857" i="2"/>
  <c r="G850" i="2"/>
  <c r="F856" i="2"/>
  <c r="G849" i="2"/>
  <c r="D854" i="2" l="1"/>
  <c r="C847" i="2"/>
  <c r="G840" i="2"/>
  <c r="F847" i="2"/>
  <c r="F876" i="2"/>
  <c r="G869" i="2"/>
  <c r="G856" i="2"/>
  <c r="F863" i="2"/>
  <c r="G857" i="2"/>
  <c r="F864" i="2"/>
  <c r="G847" i="2" l="1"/>
  <c r="F854" i="2"/>
  <c r="C854" i="2"/>
  <c r="D861" i="2"/>
  <c r="F883" i="2"/>
  <c r="G876" i="2"/>
  <c r="F871" i="2"/>
  <c r="G864" i="2"/>
  <c r="F870" i="2"/>
  <c r="G863" i="2"/>
  <c r="D868" i="2" l="1"/>
  <c r="C861" i="2"/>
  <c r="G854" i="2"/>
  <c r="F861" i="2"/>
  <c r="G883" i="2"/>
  <c r="F890" i="2"/>
  <c r="F877" i="2"/>
  <c r="G870" i="2"/>
  <c r="F878" i="2"/>
  <c r="G871" i="2"/>
  <c r="C868" i="2" l="1"/>
  <c r="D875" i="2"/>
  <c r="G861" i="2"/>
  <c r="F868" i="2"/>
  <c r="G890" i="2"/>
  <c r="F897" i="2"/>
  <c r="F885" i="2"/>
  <c r="G878" i="2"/>
  <c r="F884" i="2"/>
  <c r="G877" i="2"/>
  <c r="G868" i="2" l="1"/>
  <c r="F875" i="2"/>
  <c r="C875" i="2"/>
  <c r="D882" i="2"/>
  <c r="G897" i="2"/>
  <c r="F904" i="2"/>
  <c r="G884" i="2"/>
  <c r="F891" i="2"/>
  <c r="G885" i="2"/>
  <c r="F892" i="2"/>
  <c r="C882" i="2" l="1"/>
  <c r="D889" i="2"/>
  <c r="G875" i="2"/>
  <c r="F882" i="2"/>
  <c r="F911" i="2"/>
  <c r="G904" i="2"/>
  <c r="G892" i="2"/>
  <c r="F899" i="2"/>
  <c r="G891" i="2"/>
  <c r="F898" i="2"/>
  <c r="G882" i="2" l="1"/>
  <c r="F889" i="2"/>
  <c r="C889" i="2"/>
  <c r="D896" i="2"/>
  <c r="G911" i="2"/>
  <c r="F918" i="2"/>
  <c r="G898" i="2"/>
  <c r="F905" i="2"/>
  <c r="G899" i="2"/>
  <c r="F906" i="2"/>
  <c r="C896" i="2" l="1"/>
  <c r="D903" i="2"/>
  <c r="G889" i="2"/>
  <c r="F896" i="2"/>
  <c r="F925" i="2"/>
  <c r="G918" i="2"/>
  <c r="F913" i="2"/>
  <c r="G906" i="2"/>
  <c r="F912" i="2"/>
  <c r="G905" i="2"/>
  <c r="G896" i="2" l="1"/>
  <c r="F903" i="2"/>
  <c r="C903" i="2"/>
  <c r="D910" i="2"/>
  <c r="G913" i="2"/>
  <c r="F920" i="2"/>
  <c r="G912" i="2"/>
  <c r="F919" i="2"/>
  <c r="F932" i="2"/>
  <c r="G932" i="2" s="1"/>
  <c r="G925" i="2"/>
  <c r="C910" i="2" l="1"/>
  <c r="D917" i="2"/>
  <c r="G903" i="2"/>
  <c r="F910" i="2"/>
  <c r="F927" i="2"/>
  <c r="G920" i="2"/>
  <c r="F926" i="2"/>
  <c r="G919" i="2"/>
  <c r="G910" i="2" l="1"/>
  <c r="F917" i="2"/>
  <c r="D924" i="2"/>
  <c r="C917" i="2"/>
  <c r="F933" i="2"/>
  <c r="G933" i="2" s="1"/>
  <c r="G926" i="2"/>
  <c r="F934" i="2"/>
  <c r="G934" i="2" s="1"/>
  <c r="G927" i="2"/>
  <c r="G917" i="2" l="1"/>
  <c r="F924" i="2"/>
  <c r="C924" i="2"/>
  <c r="D931" i="2"/>
  <c r="C931" i="2" s="1"/>
  <c r="G425" i="2"/>
  <c r="C425" i="2"/>
  <c r="H423" i="2"/>
  <c r="G423" i="2"/>
  <c r="C423" i="2"/>
  <c r="C422" i="2"/>
  <c r="D364" i="2"/>
  <c r="C364" i="2" s="1"/>
  <c r="D363" i="2"/>
  <c r="D367" i="2" s="1"/>
  <c r="D362" i="2"/>
  <c r="C362" i="2" s="1"/>
  <c r="D361" i="2"/>
  <c r="D365" i="2" s="1"/>
  <c r="E364" i="2"/>
  <c r="E368" i="2" s="1"/>
  <c r="E372" i="2" s="1"/>
  <c r="E376" i="2" s="1"/>
  <c r="E380" i="2" s="1"/>
  <c r="E384" i="2" s="1"/>
  <c r="E388" i="2" s="1"/>
  <c r="E392" i="2" s="1"/>
  <c r="E396" i="2" s="1"/>
  <c r="E400" i="2" s="1"/>
  <c r="E404" i="2" s="1"/>
  <c r="E408" i="2" s="1"/>
  <c r="E412" i="2" s="1"/>
  <c r="E416" i="2" s="1"/>
  <c r="E420" i="2" s="1"/>
  <c r="E363" i="2"/>
  <c r="E367" i="2" s="1"/>
  <c r="E371" i="2" s="1"/>
  <c r="E375" i="2" s="1"/>
  <c r="E379" i="2" s="1"/>
  <c r="E383" i="2" s="1"/>
  <c r="E387" i="2" s="1"/>
  <c r="E391" i="2" s="1"/>
  <c r="E395" i="2" s="1"/>
  <c r="E399" i="2" s="1"/>
  <c r="E403" i="2" s="1"/>
  <c r="E407" i="2" s="1"/>
  <c r="E411" i="2" s="1"/>
  <c r="E415" i="2" s="1"/>
  <c r="E419" i="2" s="1"/>
  <c r="E362" i="2"/>
  <c r="E366" i="2" s="1"/>
  <c r="E370" i="2" s="1"/>
  <c r="E374" i="2" s="1"/>
  <c r="E378" i="2" s="1"/>
  <c r="E382" i="2" s="1"/>
  <c r="E386" i="2" s="1"/>
  <c r="E390" i="2" s="1"/>
  <c r="E394" i="2" s="1"/>
  <c r="E398" i="2" s="1"/>
  <c r="E402" i="2" s="1"/>
  <c r="E406" i="2" s="1"/>
  <c r="E410" i="2" s="1"/>
  <c r="E414" i="2" s="1"/>
  <c r="E418" i="2" s="1"/>
  <c r="E361" i="2"/>
  <c r="E365" i="2" s="1"/>
  <c r="E369" i="2" s="1"/>
  <c r="E373" i="2" s="1"/>
  <c r="E377" i="2" s="1"/>
  <c r="E381" i="2" s="1"/>
  <c r="E385" i="2" s="1"/>
  <c r="E389" i="2" s="1"/>
  <c r="E393" i="2" s="1"/>
  <c r="E397" i="2" s="1"/>
  <c r="E401" i="2" s="1"/>
  <c r="E405" i="2" s="1"/>
  <c r="E409" i="2" s="1"/>
  <c r="E413" i="2" s="1"/>
  <c r="E417" i="2" s="1"/>
  <c r="F364" i="2"/>
  <c r="G364" i="2" s="1"/>
  <c r="F363" i="2"/>
  <c r="G363" i="2" s="1"/>
  <c r="F362" i="2"/>
  <c r="F366" i="2" s="1"/>
  <c r="F370" i="2" s="1"/>
  <c r="F374" i="2" s="1"/>
  <c r="F361" i="2"/>
  <c r="F365" i="2" s="1"/>
  <c r="F369" i="2" s="1"/>
  <c r="F373" i="2" s="1"/>
  <c r="F377" i="2" s="1"/>
  <c r="B361" i="2"/>
  <c r="B365" i="2" s="1"/>
  <c r="B369" i="2" s="1"/>
  <c r="B373" i="2" s="1"/>
  <c r="B377" i="2" s="1"/>
  <c r="B381" i="2" s="1"/>
  <c r="B385" i="2" s="1"/>
  <c r="B389" i="2" s="1"/>
  <c r="B393" i="2" s="1"/>
  <c r="B397" i="2" s="1"/>
  <c r="B401" i="2" s="1"/>
  <c r="B405" i="2" s="1"/>
  <c r="B409" i="2" s="1"/>
  <c r="B413" i="2" s="1"/>
  <c r="B417" i="2" s="1"/>
  <c r="C360" i="2"/>
  <c r="H359" i="2"/>
  <c r="C359" i="2"/>
  <c r="C357" i="2"/>
  <c r="C358" i="2"/>
  <c r="E235" i="2"/>
  <c r="E239" i="2" s="1"/>
  <c r="E243" i="2" s="1"/>
  <c r="E247" i="2" s="1"/>
  <c r="E251" i="2" s="1"/>
  <c r="E255" i="2" s="1"/>
  <c r="E259" i="2" s="1"/>
  <c r="E263" i="2" s="1"/>
  <c r="E267" i="2" s="1"/>
  <c r="E271" i="2" s="1"/>
  <c r="E275" i="2" s="1"/>
  <c r="E279" i="2" s="1"/>
  <c r="E283" i="2" s="1"/>
  <c r="E287" i="2" s="1"/>
  <c r="E291" i="2" s="1"/>
  <c r="E295" i="2" s="1"/>
  <c r="E299" i="2" s="1"/>
  <c r="E303" i="2" s="1"/>
  <c r="E307" i="2" s="1"/>
  <c r="E311" i="2" s="1"/>
  <c r="E315" i="2" s="1"/>
  <c r="E319" i="2" s="1"/>
  <c r="E323" i="2" s="1"/>
  <c r="E327" i="2" s="1"/>
  <c r="E331" i="2" s="1"/>
  <c r="E335" i="2" s="1"/>
  <c r="E339" i="2" s="1"/>
  <c r="E343" i="2" s="1"/>
  <c r="E347" i="2" s="1"/>
  <c r="E351" i="2" s="1"/>
  <c r="E355" i="2" s="1"/>
  <c r="E234" i="2"/>
  <c r="E238" i="2" s="1"/>
  <c r="E242" i="2" s="1"/>
  <c r="E246" i="2" s="1"/>
  <c r="E250" i="2" s="1"/>
  <c r="E254" i="2" s="1"/>
  <c r="E258" i="2" s="1"/>
  <c r="E262" i="2" s="1"/>
  <c r="E266" i="2" s="1"/>
  <c r="E270" i="2" s="1"/>
  <c r="E274" i="2" s="1"/>
  <c r="E278" i="2" s="1"/>
  <c r="E282" i="2" s="1"/>
  <c r="E286" i="2" s="1"/>
  <c r="E290" i="2" s="1"/>
  <c r="E294" i="2" s="1"/>
  <c r="E298" i="2" s="1"/>
  <c r="E302" i="2" s="1"/>
  <c r="E306" i="2" s="1"/>
  <c r="E310" i="2" s="1"/>
  <c r="E314" i="2" s="1"/>
  <c r="E318" i="2" s="1"/>
  <c r="E322" i="2" s="1"/>
  <c r="E326" i="2" s="1"/>
  <c r="E330" i="2" s="1"/>
  <c r="E334" i="2" s="1"/>
  <c r="E338" i="2" s="1"/>
  <c r="E342" i="2" s="1"/>
  <c r="E346" i="2" s="1"/>
  <c r="E350" i="2" s="1"/>
  <c r="E354" i="2" s="1"/>
  <c r="E233" i="2"/>
  <c r="E237" i="2" s="1"/>
  <c r="E241" i="2" s="1"/>
  <c r="E245" i="2" s="1"/>
  <c r="E249" i="2" s="1"/>
  <c r="E253" i="2" s="1"/>
  <c r="E257" i="2" s="1"/>
  <c r="E261" i="2" s="1"/>
  <c r="E265" i="2" s="1"/>
  <c r="E269" i="2" s="1"/>
  <c r="E273" i="2" s="1"/>
  <c r="E277" i="2" s="1"/>
  <c r="E281" i="2" s="1"/>
  <c r="E285" i="2" s="1"/>
  <c r="E289" i="2" s="1"/>
  <c r="E293" i="2" s="1"/>
  <c r="E297" i="2" s="1"/>
  <c r="E301" i="2" s="1"/>
  <c r="E305" i="2" s="1"/>
  <c r="E309" i="2" s="1"/>
  <c r="E313" i="2" s="1"/>
  <c r="E317" i="2" s="1"/>
  <c r="E321" i="2" s="1"/>
  <c r="E325" i="2" s="1"/>
  <c r="E329" i="2" s="1"/>
  <c r="E333" i="2" s="1"/>
  <c r="E337" i="2" s="1"/>
  <c r="E341" i="2" s="1"/>
  <c r="E345" i="2" s="1"/>
  <c r="E349" i="2" s="1"/>
  <c r="E353" i="2" s="1"/>
  <c r="E232" i="2"/>
  <c r="E236" i="2" s="1"/>
  <c r="E240" i="2" s="1"/>
  <c r="E244" i="2" s="1"/>
  <c r="E248" i="2" s="1"/>
  <c r="E252" i="2" s="1"/>
  <c r="E256" i="2" s="1"/>
  <c r="E260" i="2" s="1"/>
  <c r="E264" i="2" s="1"/>
  <c r="E268" i="2" s="1"/>
  <c r="E272" i="2" s="1"/>
  <c r="E276" i="2" s="1"/>
  <c r="E280" i="2" s="1"/>
  <c r="E284" i="2" s="1"/>
  <c r="E288" i="2" s="1"/>
  <c r="E292" i="2" s="1"/>
  <c r="E296" i="2" s="1"/>
  <c r="E300" i="2" s="1"/>
  <c r="E304" i="2" s="1"/>
  <c r="E308" i="2" s="1"/>
  <c r="E312" i="2" s="1"/>
  <c r="E316" i="2" s="1"/>
  <c r="E320" i="2" s="1"/>
  <c r="E324" i="2" s="1"/>
  <c r="E328" i="2" s="1"/>
  <c r="E332" i="2" s="1"/>
  <c r="E336" i="2" s="1"/>
  <c r="E340" i="2" s="1"/>
  <c r="E344" i="2" s="1"/>
  <c r="E348" i="2" s="1"/>
  <c r="E352" i="2" s="1"/>
  <c r="G924" i="2" l="1"/>
  <c r="F931" i="2"/>
  <c r="G931" i="2" s="1"/>
  <c r="C361" i="2"/>
  <c r="D366" i="2"/>
  <c r="D370" i="2" s="1"/>
  <c r="C370" i="2" s="1"/>
  <c r="D368" i="2"/>
  <c r="C363" i="2"/>
  <c r="H363" i="2"/>
  <c r="H367" i="2"/>
  <c r="C367" i="2"/>
  <c r="F381" i="2"/>
  <c r="F385" i="2" s="1"/>
  <c r="F378" i="2"/>
  <c r="D371" i="2"/>
  <c r="H371" i="2" s="1"/>
  <c r="D369" i="2"/>
  <c r="D373" i="2" s="1"/>
  <c r="C365" i="2"/>
  <c r="F367" i="2"/>
  <c r="F368" i="2"/>
  <c r="D374" i="2" l="1"/>
  <c r="C374" i="2" s="1"/>
  <c r="C366" i="2"/>
  <c r="D372" i="2"/>
  <c r="C368" i="2"/>
  <c r="F389" i="2"/>
  <c r="F382" i="2"/>
  <c r="F386" i="2" s="1"/>
  <c r="C373" i="2"/>
  <c r="D377" i="2"/>
  <c r="C371" i="2"/>
  <c r="D375" i="2"/>
  <c r="G367" i="2"/>
  <c r="F371" i="2"/>
  <c r="C369" i="2"/>
  <c r="G368" i="2"/>
  <c r="F372" i="2"/>
  <c r="D378" i="2" l="1"/>
  <c r="C378" i="2" s="1"/>
  <c r="C372" i="2"/>
  <c r="D376" i="2"/>
  <c r="F393" i="2"/>
  <c r="F390" i="2"/>
  <c r="G372" i="2"/>
  <c r="F376" i="2"/>
  <c r="D381" i="2"/>
  <c r="D385" i="2" s="1"/>
  <c r="C377" i="2"/>
  <c r="D379" i="2"/>
  <c r="H375" i="2"/>
  <c r="C375" i="2"/>
  <c r="G371" i="2"/>
  <c r="F375" i="2"/>
  <c r="D382" i="2" l="1"/>
  <c r="C382" i="2" s="1"/>
  <c r="C376" i="2"/>
  <c r="D380" i="2"/>
  <c r="C385" i="2"/>
  <c r="D389" i="2"/>
  <c r="F394" i="2"/>
  <c r="F397" i="2"/>
  <c r="C381" i="2"/>
  <c r="F379" i="2"/>
  <c r="G375" i="2"/>
  <c r="H379" i="2"/>
  <c r="C379" i="2"/>
  <c r="D383" i="2"/>
  <c r="D387" i="2" s="1"/>
  <c r="F380" i="2"/>
  <c r="G376" i="2"/>
  <c r="D386" i="2" l="1"/>
  <c r="D390" i="2" s="1"/>
  <c r="D384" i="2"/>
  <c r="C380" i="2"/>
  <c r="C387" i="2"/>
  <c r="H387" i="2"/>
  <c r="D391" i="2"/>
  <c r="D393" i="2"/>
  <c r="C389" i="2"/>
  <c r="F401" i="2"/>
  <c r="F398" i="2"/>
  <c r="F384" i="2"/>
  <c r="G380" i="2"/>
  <c r="C383" i="2"/>
  <c r="H383" i="2"/>
  <c r="G379" i="2"/>
  <c r="F383" i="2"/>
  <c r="C386" i="2" l="1"/>
  <c r="D388" i="2"/>
  <c r="C384" i="2"/>
  <c r="G383" i="2"/>
  <c r="F387" i="2"/>
  <c r="F402" i="2"/>
  <c r="C393" i="2"/>
  <c r="D397" i="2"/>
  <c r="F405" i="2"/>
  <c r="F409" i="2" s="1"/>
  <c r="C391" i="2"/>
  <c r="D395" i="2"/>
  <c r="H391" i="2"/>
  <c r="C390" i="2"/>
  <c r="D394" i="2"/>
  <c r="G384" i="2"/>
  <c r="F388" i="2"/>
  <c r="F413" i="2" l="1"/>
  <c r="D392" i="2"/>
  <c r="C388" i="2"/>
  <c r="C397" i="2"/>
  <c r="D401" i="2"/>
  <c r="D398" i="2"/>
  <c r="C394" i="2"/>
  <c r="C395" i="2"/>
  <c r="H395" i="2"/>
  <c r="D399" i="2"/>
  <c r="F392" i="2"/>
  <c r="G388" i="2"/>
  <c r="F406" i="2"/>
  <c r="F410" i="2" s="1"/>
  <c r="F391" i="2"/>
  <c r="G387" i="2"/>
  <c r="F414" i="2" l="1"/>
  <c r="D396" i="2"/>
  <c r="C392" i="2"/>
  <c r="F417" i="2"/>
  <c r="F396" i="2"/>
  <c r="G392" i="2"/>
  <c r="C399" i="2"/>
  <c r="D403" i="2"/>
  <c r="H399" i="2"/>
  <c r="D405" i="2"/>
  <c r="D409" i="2" s="1"/>
  <c r="C401" i="2"/>
  <c r="C398" i="2"/>
  <c r="D402" i="2"/>
  <c r="F395" i="2"/>
  <c r="G391" i="2"/>
  <c r="C409" i="2" l="1"/>
  <c r="D413" i="2"/>
  <c r="C396" i="2"/>
  <c r="D400" i="2"/>
  <c r="F418" i="2"/>
  <c r="C402" i="2"/>
  <c r="D406" i="2"/>
  <c r="C405" i="2"/>
  <c r="F400" i="2"/>
  <c r="G396" i="2"/>
  <c r="H403" i="2"/>
  <c r="C403" i="2"/>
  <c r="D407" i="2"/>
  <c r="D411" i="2" s="1"/>
  <c r="F399" i="2"/>
  <c r="G395" i="2"/>
  <c r="C406" i="2" l="1"/>
  <c r="D410" i="2"/>
  <c r="D417" i="2"/>
  <c r="C413" i="2"/>
  <c r="D415" i="2"/>
  <c r="H411" i="2"/>
  <c r="C411" i="2"/>
  <c r="C400" i="2"/>
  <c r="D404" i="2"/>
  <c r="F404" i="2"/>
  <c r="G400" i="2"/>
  <c r="C407" i="2"/>
  <c r="H407" i="2"/>
  <c r="F403" i="2"/>
  <c r="G399" i="2"/>
  <c r="H415" i="2" l="1"/>
  <c r="D419" i="2"/>
  <c r="C415" i="2"/>
  <c r="D408" i="2"/>
  <c r="C404" i="2"/>
  <c r="C417" i="2"/>
  <c r="D414" i="2"/>
  <c r="C410" i="2"/>
  <c r="G403" i="2"/>
  <c r="F407" i="2"/>
  <c r="F408" i="2"/>
  <c r="G404" i="2"/>
  <c r="G407" i="2" l="1"/>
  <c r="F411" i="2"/>
  <c r="C408" i="2"/>
  <c r="D412" i="2"/>
  <c r="C414" i="2"/>
  <c r="D418" i="2"/>
  <c r="C418" i="2" s="1"/>
  <c r="C419" i="2"/>
  <c r="H419" i="2"/>
  <c r="G408" i="2"/>
  <c r="F412" i="2"/>
  <c r="G412" i="2" l="1"/>
  <c r="F416" i="2"/>
  <c r="C412" i="2"/>
  <c r="D416" i="2"/>
  <c r="F415" i="2"/>
  <c r="G411" i="2"/>
  <c r="G415" i="2" l="1"/>
  <c r="F419" i="2"/>
  <c r="G419" i="2" s="1"/>
  <c r="D420" i="2"/>
  <c r="C420" i="2" s="1"/>
  <c r="C416" i="2"/>
  <c r="F420" i="2"/>
  <c r="G420" i="2" s="1"/>
  <c r="G416" i="2"/>
  <c r="F235" i="2" l="1"/>
  <c r="G235" i="2" s="1"/>
  <c r="F234" i="2"/>
  <c r="F238" i="2" s="1"/>
  <c r="F242" i="2" s="1"/>
  <c r="F246" i="2" s="1"/>
  <c r="F250" i="2" s="1"/>
  <c r="F254" i="2" s="1"/>
  <c r="F258" i="2" s="1"/>
  <c r="F262" i="2" s="1"/>
  <c r="F266" i="2" s="1"/>
  <c r="F270" i="2" s="1"/>
  <c r="F274" i="2" s="1"/>
  <c r="F278" i="2" s="1"/>
  <c r="F282" i="2" s="1"/>
  <c r="F286" i="2" s="1"/>
  <c r="F290" i="2" s="1"/>
  <c r="F294" i="2" s="1"/>
  <c r="F298" i="2" s="1"/>
  <c r="F302" i="2" s="1"/>
  <c r="F306" i="2" s="1"/>
  <c r="F310" i="2" s="1"/>
  <c r="F314" i="2" s="1"/>
  <c r="F318" i="2" s="1"/>
  <c r="F322" i="2" s="1"/>
  <c r="F326" i="2" s="1"/>
  <c r="F330" i="2" s="1"/>
  <c r="F334" i="2" s="1"/>
  <c r="F338" i="2" s="1"/>
  <c r="F342" i="2" s="1"/>
  <c r="F346" i="2" s="1"/>
  <c r="F350" i="2" s="1"/>
  <c r="F354" i="2" s="1"/>
  <c r="F233" i="2"/>
  <c r="G233" i="2" s="1"/>
  <c r="F232" i="2"/>
  <c r="F236" i="2" s="1"/>
  <c r="F240" i="2" s="1"/>
  <c r="F244" i="2" s="1"/>
  <c r="F248" i="2" s="1"/>
  <c r="F252" i="2" s="1"/>
  <c r="F256" i="2" s="1"/>
  <c r="F260" i="2" s="1"/>
  <c r="F264" i="2" s="1"/>
  <c r="F268" i="2" s="1"/>
  <c r="F272" i="2" s="1"/>
  <c r="F276" i="2" s="1"/>
  <c r="F280" i="2" s="1"/>
  <c r="F284" i="2" s="1"/>
  <c r="F288" i="2" s="1"/>
  <c r="F292" i="2" s="1"/>
  <c r="F296" i="2" s="1"/>
  <c r="F300" i="2" s="1"/>
  <c r="F304" i="2" s="1"/>
  <c r="F308" i="2" s="1"/>
  <c r="F312" i="2" s="1"/>
  <c r="F316" i="2" s="1"/>
  <c r="F320" i="2" s="1"/>
  <c r="F324" i="2" s="1"/>
  <c r="F328" i="2" s="1"/>
  <c r="F332" i="2" s="1"/>
  <c r="F336" i="2" s="1"/>
  <c r="F340" i="2" s="1"/>
  <c r="F344" i="2" s="1"/>
  <c r="F348" i="2" s="1"/>
  <c r="F352" i="2" s="1"/>
  <c r="D328" i="2"/>
  <c r="C328" i="2" s="1"/>
  <c r="H324" i="2"/>
  <c r="C324" i="2"/>
  <c r="D296" i="2"/>
  <c r="H296" i="2" s="1"/>
  <c r="H292" i="2"/>
  <c r="C292" i="2"/>
  <c r="D264" i="2"/>
  <c r="C264" i="2" s="1"/>
  <c r="C260" i="2"/>
  <c r="H260" i="2"/>
  <c r="D232" i="2"/>
  <c r="H232" i="2" s="1"/>
  <c r="C231" i="2"/>
  <c r="H230" i="2"/>
  <c r="D235" i="2"/>
  <c r="C235" i="2" s="1"/>
  <c r="D234" i="2"/>
  <c r="C234" i="2" s="1"/>
  <c r="D233" i="2"/>
  <c r="C233" i="2" s="1"/>
  <c r="B232" i="2"/>
  <c r="B236" i="2" s="1"/>
  <c r="B240" i="2" s="1"/>
  <c r="B244" i="2" s="1"/>
  <c r="B248" i="2" s="1"/>
  <c r="B252" i="2" s="1"/>
  <c r="B256" i="2" s="1"/>
  <c r="B260" i="2" s="1"/>
  <c r="B264" i="2" s="1"/>
  <c r="B268" i="2" s="1"/>
  <c r="B272" i="2" s="1"/>
  <c r="B276" i="2" s="1"/>
  <c r="B280" i="2" s="1"/>
  <c r="B284" i="2" s="1"/>
  <c r="B288" i="2" s="1"/>
  <c r="B292" i="2" s="1"/>
  <c r="B296" i="2" s="1"/>
  <c r="B300" i="2" s="1"/>
  <c r="B304" i="2" s="1"/>
  <c r="B308" i="2" s="1"/>
  <c r="B312" i="2" s="1"/>
  <c r="B316" i="2" s="1"/>
  <c r="B320" i="2" s="1"/>
  <c r="B324" i="2" s="1"/>
  <c r="B328" i="2" s="1"/>
  <c r="B332" i="2" s="1"/>
  <c r="B336" i="2" s="1"/>
  <c r="B340" i="2" s="1"/>
  <c r="B344" i="2" s="1"/>
  <c r="B348" i="2" s="1"/>
  <c r="B352" i="2" s="1"/>
  <c r="H228" i="2"/>
  <c r="D114" i="2"/>
  <c r="D122" i="2" s="1"/>
  <c r="D130" i="2" s="1"/>
  <c r="D138" i="2" s="1"/>
  <c r="D146" i="2" s="1"/>
  <c r="D154" i="2" s="1"/>
  <c r="D162" i="2" s="1"/>
  <c r="D170" i="2" s="1"/>
  <c r="D178" i="2" s="1"/>
  <c r="D186" i="2" s="1"/>
  <c r="D194" i="2" s="1"/>
  <c r="D202" i="2" s="1"/>
  <c r="D210" i="2" s="1"/>
  <c r="D218" i="2" s="1"/>
  <c r="D226" i="2" s="1"/>
  <c r="C230" i="2"/>
  <c r="C229" i="2"/>
  <c r="C228" i="2"/>
  <c r="C103" i="2"/>
  <c r="B107" i="2"/>
  <c r="B115" i="2" s="1"/>
  <c r="B123" i="2" s="1"/>
  <c r="B131" i="2" s="1"/>
  <c r="B139" i="2" s="1"/>
  <c r="B147" i="2" s="1"/>
  <c r="B155" i="2" s="1"/>
  <c r="B163" i="2" s="1"/>
  <c r="B171" i="2" s="1"/>
  <c r="B179" i="2" s="1"/>
  <c r="B187" i="2" s="1"/>
  <c r="B195" i="2" s="1"/>
  <c r="B203" i="2" s="1"/>
  <c r="B211" i="2" s="1"/>
  <c r="B219" i="2" s="1"/>
  <c r="B8" i="2"/>
  <c r="B14" i="2" s="1"/>
  <c r="B20" i="2" s="1"/>
  <c r="B26" i="2" s="1"/>
  <c r="B32" i="2" s="1"/>
  <c r="B38" i="2" s="1"/>
  <c r="B44" i="2" s="1"/>
  <c r="B50" i="2" s="1"/>
  <c r="B56" i="2" s="1"/>
  <c r="B62" i="2" s="1"/>
  <c r="B68" i="2" s="1"/>
  <c r="B74" i="2" s="1"/>
  <c r="B80" i="2" s="1"/>
  <c r="B86" i="2" s="1"/>
  <c r="B92" i="2" s="1"/>
  <c r="D111" i="2"/>
  <c r="D119" i="2" s="1"/>
  <c r="D127" i="2" s="1"/>
  <c r="D135" i="2" s="1"/>
  <c r="D143" i="2" s="1"/>
  <c r="D151" i="2" s="1"/>
  <c r="D159" i="2" s="1"/>
  <c r="D167" i="2" s="1"/>
  <c r="D175" i="2" s="1"/>
  <c r="D183" i="2" s="1"/>
  <c r="D191" i="2" s="1"/>
  <c r="D199" i="2" s="1"/>
  <c r="D207" i="2" s="1"/>
  <c r="D215" i="2" s="1"/>
  <c r="D223" i="2" s="1"/>
  <c r="C223" i="2" s="1"/>
  <c r="F111" i="2"/>
  <c r="G111" i="2" s="1"/>
  <c r="F112" i="2"/>
  <c r="F120" i="2" s="1"/>
  <c r="F128" i="2" s="1"/>
  <c r="F136" i="2" s="1"/>
  <c r="F113" i="2"/>
  <c r="F121" i="2" s="1"/>
  <c r="F129" i="2" s="1"/>
  <c r="F137" i="2" s="1"/>
  <c r="F145" i="2" s="1"/>
  <c r="E111" i="2"/>
  <c r="E119" i="2" s="1"/>
  <c r="E127" i="2" s="1"/>
  <c r="E135" i="2" s="1"/>
  <c r="E143" i="2" s="1"/>
  <c r="E151" i="2" s="1"/>
  <c r="E159" i="2" s="1"/>
  <c r="E167" i="2" s="1"/>
  <c r="E175" i="2" s="1"/>
  <c r="E183" i="2" s="1"/>
  <c r="E191" i="2" s="1"/>
  <c r="E199" i="2" s="1"/>
  <c r="E207" i="2" s="1"/>
  <c r="E215" i="2" s="1"/>
  <c r="E223" i="2" s="1"/>
  <c r="D107" i="2"/>
  <c r="D115" i="2" s="1"/>
  <c r="D123" i="2" s="1"/>
  <c r="D131" i="2" s="1"/>
  <c r="F13" i="2"/>
  <c r="F19" i="2" s="1"/>
  <c r="F12" i="2"/>
  <c r="F18" i="2" s="1"/>
  <c r="F24" i="2" s="1"/>
  <c r="F30" i="2" s="1"/>
  <c r="F36" i="2" s="1"/>
  <c r="F42" i="2" s="1"/>
  <c r="F48" i="2" s="1"/>
  <c r="F54" i="2" s="1"/>
  <c r="F60" i="2" s="1"/>
  <c r="F66" i="2" s="1"/>
  <c r="F72" i="2" s="1"/>
  <c r="F11" i="2"/>
  <c r="F17" i="2" s="1"/>
  <c r="F10" i="2"/>
  <c r="F16" i="2" s="1"/>
  <c r="F22" i="2" s="1"/>
  <c r="F28" i="2" s="1"/>
  <c r="F34" i="2" s="1"/>
  <c r="F40" i="2" s="1"/>
  <c r="F46" i="2" s="1"/>
  <c r="F52" i="2" s="1"/>
  <c r="F58" i="2" s="1"/>
  <c r="F64" i="2" s="1"/>
  <c r="F70" i="2" s="1"/>
  <c r="F9" i="2"/>
  <c r="F15" i="2" s="1"/>
  <c r="F21" i="2" s="1"/>
  <c r="F27" i="2" s="1"/>
  <c r="F33" i="2" s="1"/>
  <c r="F39" i="2" s="1"/>
  <c r="F45" i="2" s="1"/>
  <c r="F51" i="2" s="1"/>
  <c r="F57" i="2" s="1"/>
  <c r="F63" i="2" s="1"/>
  <c r="F69" i="2" s="1"/>
  <c r="F8" i="2"/>
  <c r="F14" i="2" s="1"/>
  <c r="F20" i="2" s="1"/>
  <c r="F26" i="2" s="1"/>
  <c r="F32" i="2" s="1"/>
  <c r="F38" i="2" s="1"/>
  <c r="F44" i="2" s="1"/>
  <c r="F50" i="2" s="1"/>
  <c r="F56" i="2" s="1"/>
  <c r="F62" i="2" s="1"/>
  <c r="F68" i="2" s="1"/>
  <c r="E13" i="2"/>
  <c r="E19" i="2" s="1"/>
  <c r="E25" i="2" s="1"/>
  <c r="E31" i="2" s="1"/>
  <c r="E37" i="2" s="1"/>
  <c r="E43" i="2" s="1"/>
  <c r="E49" i="2" s="1"/>
  <c r="E55" i="2" s="1"/>
  <c r="E61" i="2" s="1"/>
  <c r="E67" i="2" s="1"/>
  <c r="E73" i="2" s="1"/>
  <c r="E79" i="2" s="1"/>
  <c r="E85" i="2" s="1"/>
  <c r="E91" i="2" s="1"/>
  <c r="E97" i="2" s="1"/>
  <c r="E114" i="2" s="1"/>
  <c r="E122" i="2" s="1"/>
  <c r="E130" i="2" s="1"/>
  <c r="E138" i="2" s="1"/>
  <c r="E146" i="2" s="1"/>
  <c r="E154" i="2" s="1"/>
  <c r="E162" i="2" s="1"/>
  <c r="E170" i="2" s="1"/>
  <c r="E178" i="2" s="1"/>
  <c r="E186" i="2" s="1"/>
  <c r="E194" i="2" s="1"/>
  <c r="E202" i="2" s="1"/>
  <c r="E210" i="2" s="1"/>
  <c r="E218" i="2" s="1"/>
  <c r="E226" i="2" s="1"/>
  <c r="E12" i="2"/>
  <c r="E18" i="2" s="1"/>
  <c r="E24" i="2" s="1"/>
  <c r="E30" i="2" s="1"/>
  <c r="E36" i="2" s="1"/>
  <c r="E42" i="2" s="1"/>
  <c r="E48" i="2" s="1"/>
  <c r="E54" i="2" s="1"/>
  <c r="E60" i="2" s="1"/>
  <c r="E66" i="2" s="1"/>
  <c r="E72" i="2" s="1"/>
  <c r="E78" i="2" s="1"/>
  <c r="E84" i="2" s="1"/>
  <c r="E90" i="2" s="1"/>
  <c r="E96" i="2" s="1"/>
  <c r="E113" i="2" s="1"/>
  <c r="E121" i="2" s="1"/>
  <c r="E129" i="2" s="1"/>
  <c r="E137" i="2" s="1"/>
  <c r="E145" i="2" s="1"/>
  <c r="E153" i="2" s="1"/>
  <c r="E161" i="2" s="1"/>
  <c r="E169" i="2" s="1"/>
  <c r="E177" i="2" s="1"/>
  <c r="E185" i="2" s="1"/>
  <c r="E193" i="2" s="1"/>
  <c r="E201" i="2" s="1"/>
  <c r="E209" i="2" s="1"/>
  <c r="E217" i="2" s="1"/>
  <c r="E225" i="2" s="1"/>
  <c r="E11" i="2"/>
  <c r="E17" i="2" s="1"/>
  <c r="E23" i="2" s="1"/>
  <c r="E29" i="2" s="1"/>
  <c r="E35" i="2" s="1"/>
  <c r="E41" i="2" s="1"/>
  <c r="E47" i="2" s="1"/>
  <c r="E53" i="2" s="1"/>
  <c r="E59" i="2" s="1"/>
  <c r="E65" i="2" s="1"/>
  <c r="E71" i="2" s="1"/>
  <c r="E77" i="2" s="1"/>
  <c r="E83" i="2" s="1"/>
  <c r="E89" i="2" s="1"/>
  <c r="E95" i="2" s="1"/>
  <c r="E110" i="2" s="1"/>
  <c r="E118" i="2" s="1"/>
  <c r="E126" i="2" s="1"/>
  <c r="E134" i="2" s="1"/>
  <c r="E142" i="2" s="1"/>
  <c r="E150" i="2" s="1"/>
  <c r="E158" i="2" s="1"/>
  <c r="E166" i="2" s="1"/>
  <c r="E174" i="2" s="1"/>
  <c r="E182" i="2" s="1"/>
  <c r="E190" i="2" s="1"/>
  <c r="E198" i="2" s="1"/>
  <c r="E206" i="2" s="1"/>
  <c r="E214" i="2" s="1"/>
  <c r="E222" i="2" s="1"/>
  <c r="E10" i="2"/>
  <c r="E16" i="2" s="1"/>
  <c r="E22" i="2" s="1"/>
  <c r="E28" i="2" s="1"/>
  <c r="E34" i="2" s="1"/>
  <c r="E40" i="2" s="1"/>
  <c r="E46" i="2" s="1"/>
  <c r="E52" i="2" s="1"/>
  <c r="E58" i="2" s="1"/>
  <c r="E64" i="2" s="1"/>
  <c r="E70" i="2" s="1"/>
  <c r="E76" i="2" s="1"/>
  <c r="E82" i="2" s="1"/>
  <c r="E88" i="2" s="1"/>
  <c r="E94" i="2" s="1"/>
  <c r="E109" i="2" s="1"/>
  <c r="E117" i="2" s="1"/>
  <c r="E125" i="2" s="1"/>
  <c r="E133" i="2" s="1"/>
  <c r="E141" i="2" s="1"/>
  <c r="E149" i="2" s="1"/>
  <c r="E157" i="2" s="1"/>
  <c r="E165" i="2" s="1"/>
  <c r="E173" i="2" s="1"/>
  <c r="E181" i="2" s="1"/>
  <c r="E189" i="2" s="1"/>
  <c r="E197" i="2" s="1"/>
  <c r="E205" i="2" s="1"/>
  <c r="E213" i="2" s="1"/>
  <c r="E221" i="2" s="1"/>
  <c r="E9" i="2"/>
  <c r="E15" i="2" s="1"/>
  <c r="E21" i="2" s="1"/>
  <c r="E27" i="2" s="1"/>
  <c r="E33" i="2" s="1"/>
  <c r="E39" i="2" s="1"/>
  <c r="E45" i="2" s="1"/>
  <c r="E51" i="2" s="1"/>
  <c r="E57" i="2" s="1"/>
  <c r="E63" i="2" s="1"/>
  <c r="E69" i="2" s="1"/>
  <c r="E75" i="2" s="1"/>
  <c r="E81" i="2" s="1"/>
  <c r="E87" i="2" s="1"/>
  <c r="E93" i="2" s="1"/>
  <c r="E108" i="2" s="1"/>
  <c r="E116" i="2" s="1"/>
  <c r="E124" i="2" s="1"/>
  <c r="E132" i="2" s="1"/>
  <c r="E140" i="2" s="1"/>
  <c r="E148" i="2" s="1"/>
  <c r="E156" i="2" s="1"/>
  <c r="E164" i="2" s="1"/>
  <c r="E172" i="2" s="1"/>
  <c r="E180" i="2" s="1"/>
  <c r="E188" i="2" s="1"/>
  <c r="E196" i="2" s="1"/>
  <c r="E204" i="2" s="1"/>
  <c r="E212" i="2" s="1"/>
  <c r="E220" i="2" s="1"/>
  <c r="E8" i="2"/>
  <c r="E14" i="2" s="1"/>
  <c r="E20" i="2" s="1"/>
  <c r="E26" i="2" s="1"/>
  <c r="E32" i="2" s="1"/>
  <c r="E38" i="2" s="1"/>
  <c r="E44" i="2" s="1"/>
  <c r="E50" i="2" s="1"/>
  <c r="E56" i="2" s="1"/>
  <c r="E62" i="2" s="1"/>
  <c r="E68" i="2" s="1"/>
  <c r="E74" i="2" s="1"/>
  <c r="E80" i="2" s="1"/>
  <c r="E86" i="2" s="1"/>
  <c r="E92" i="2" s="1"/>
  <c r="E107" i="2" s="1"/>
  <c r="E115" i="2" s="1"/>
  <c r="E123" i="2" s="1"/>
  <c r="E131" i="2" s="1"/>
  <c r="E139" i="2" s="1"/>
  <c r="E147" i="2" s="1"/>
  <c r="E155" i="2" s="1"/>
  <c r="E163" i="2" s="1"/>
  <c r="E171" i="2" s="1"/>
  <c r="E179" i="2" s="1"/>
  <c r="E187" i="2" s="1"/>
  <c r="E195" i="2" s="1"/>
  <c r="E203" i="2" s="1"/>
  <c r="E211" i="2" s="1"/>
  <c r="E219" i="2" s="1"/>
  <c r="D10" i="2"/>
  <c r="C10" i="2" s="1"/>
  <c r="C7" i="2"/>
  <c r="C6" i="2"/>
  <c r="C4" i="2"/>
  <c r="C3" i="2"/>
  <c r="C2" i="2"/>
  <c r="H5" i="2"/>
  <c r="I7" i="2"/>
  <c r="I6" i="2"/>
  <c r="I5" i="2"/>
  <c r="I4" i="2"/>
  <c r="H4" i="2" s="1"/>
  <c r="I3" i="2"/>
  <c r="H3" i="2" s="1"/>
  <c r="I2" i="2"/>
  <c r="H6" i="2"/>
  <c r="H2" i="2"/>
  <c r="D13" i="2"/>
  <c r="C13" i="2" s="1"/>
  <c r="D12" i="2"/>
  <c r="C12" i="2" s="1"/>
  <c r="D11" i="2"/>
  <c r="H11" i="2" s="1"/>
  <c r="D9" i="2"/>
  <c r="D8" i="2"/>
  <c r="H8" i="2" s="1"/>
  <c r="A8" i="2"/>
  <c r="I13" i="2" s="1"/>
  <c r="G493" i="2"/>
  <c r="G360" i="2"/>
  <c r="G359" i="2"/>
  <c r="G231" i="2"/>
  <c r="G229" i="2"/>
  <c r="G103" i="2"/>
  <c r="G7" i="2"/>
  <c r="G5" i="2"/>
  <c r="G13" i="2" l="1"/>
  <c r="F239" i="2"/>
  <c r="F237" i="2"/>
  <c r="H328" i="2"/>
  <c r="D332" i="2"/>
  <c r="D336" i="2" s="1"/>
  <c r="D300" i="2"/>
  <c r="D304" i="2" s="1"/>
  <c r="C296" i="2"/>
  <c r="D268" i="2"/>
  <c r="D272" i="2" s="1"/>
  <c r="H264" i="2"/>
  <c r="D239" i="2"/>
  <c r="D237" i="2"/>
  <c r="H234" i="2"/>
  <c r="D238" i="2"/>
  <c r="D242" i="2" s="1"/>
  <c r="C119" i="2"/>
  <c r="C143" i="2"/>
  <c r="D236" i="2"/>
  <c r="D240" i="2" s="1"/>
  <c r="C232" i="2"/>
  <c r="C135" i="2"/>
  <c r="C151" i="2"/>
  <c r="C159" i="2"/>
  <c r="C167" i="2"/>
  <c r="C175" i="2"/>
  <c r="C183" i="2"/>
  <c r="C191" i="2"/>
  <c r="C199" i="2"/>
  <c r="C111" i="2"/>
  <c r="C207" i="2"/>
  <c r="C127" i="2"/>
  <c r="C215" i="2"/>
  <c r="F144" i="2"/>
  <c r="H131" i="2"/>
  <c r="C131" i="2"/>
  <c r="D139" i="2"/>
  <c r="F153" i="2"/>
  <c r="F161" i="2" s="1"/>
  <c r="C123" i="2"/>
  <c r="H123" i="2"/>
  <c r="F119" i="2"/>
  <c r="H115" i="2"/>
  <c r="C115" i="2"/>
  <c r="E112" i="2"/>
  <c r="E120" i="2" s="1"/>
  <c r="E128" i="2" s="1"/>
  <c r="E136" i="2" s="1"/>
  <c r="E144" i="2" s="1"/>
  <c r="E152" i="2" s="1"/>
  <c r="E160" i="2" s="1"/>
  <c r="E168" i="2" s="1"/>
  <c r="E176" i="2" s="1"/>
  <c r="E184" i="2" s="1"/>
  <c r="E192" i="2" s="1"/>
  <c r="E200" i="2" s="1"/>
  <c r="E208" i="2" s="1"/>
  <c r="E216" i="2" s="1"/>
  <c r="E224" i="2" s="1"/>
  <c r="G11" i="2"/>
  <c r="F23" i="2"/>
  <c r="G17" i="2"/>
  <c r="F78" i="2"/>
  <c r="F75" i="2"/>
  <c r="F25" i="2"/>
  <c r="G19" i="2"/>
  <c r="F74" i="2"/>
  <c r="F76" i="2"/>
  <c r="D14" i="2"/>
  <c r="C14" i="2" s="1"/>
  <c r="D18" i="2"/>
  <c r="I8" i="2"/>
  <c r="G8" i="2" s="1"/>
  <c r="D19" i="2"/>
  <c r="D25" i="2" s="1"/>
  <c r="C25" i="2" s="1"/>
  <c r="I9" i="2"/>
  <c r="I10" i="2"/>
  <c r="I11" i="2"/>
  <c r="H12" i="2"/>
  <c r="I12" i="2"/>
  <c r="G12" i="2" s="1"/>
  <c r="C11" i="2"/>
  <c r="D15" i="2"/>
  <c r="D16" i="2"/>
  <c r="D22" i="2" s="1"/>
  <c r="C8" i="2"/>
  <c r="C9" i="2"/>
  <c r="D17" i="2"/>
  <c r="G2" i="2"/>
  <c r="A14" i="2"/>
  <c r="G3" i="2"/>
  <c r="G10" i="2" l="1"/>
  <c r="H10" i="2"/>
  <c r="G9" i="2"/>
  <c r="H9" i="2"/>
  <c r="G237" i="2"/>
  <c r="F241" i="2"/>
  <c r="G239" i="2"/>
  <c r="F243" i="2"/>
  <c r="C336" i="2"/>
  <c r="D340" i="2"/>
  <c r="D344" i="2" s="1"/>
  <c r="H336" i="2"/>
  <c r="H332" i="2"/>
  <c r="C332" i="2"/>
  <c r="C304" i="2"/>
  <c r="D308" i="2"/>
  <c r="D312" i="2" s="1"/>
  <c r="H304" i="2"/>
  <c r="H300" i="2"/>
  <c r="C300" i="2"/>
  <c r="C272" i="2"/>
  <c r="D276" i="2"/>
  <c r="D280" i="2" s="1"/>
  <c r="H272" i="2"/>
  <c r="H268" i="2"/>
  <c r="C268" i="2"/>
  <c r="C239" i="2"/>
  <c r="D243" i="2"/>
  <c r="C240" i="2"/>
  <c r="D244" i="2"/>
  <c r="D248" i="2" s="1"/>
  <c r="H240" i="2"/>
  <c r="H242" i="2"/>
  <c r="C242" i="2"/>
  <c r="D246" i="2"/>
  <c r="D250" i="2" s="1"/>
  <c r="C237" i="2"/>
  <c r="D241" i="2"/>
  <c r="H236" i="2"/>
  <c r="C236" i="2"/>
  <c r="H238" i="2"/>
  <c r="C238" i="2"/>
  <c r="F169" i="2"/>
  <c r="F152" i="2"/>
  <c r="F160" i="2" s="1"/>
  <c r="H14" i="2"/>
  <c r="D147" i="2"/>
  <c r="D155" i="2" s="1"/>
  <c r="C139" i="2"/>
  <c r="H139" i="2"/>
  <c r="G119" i="2"/>
  <c r="F127" i="2"/>
  <c r="D31" i="2"/>
  <c r="C31" i="2" s="1"/>
  <c r="C16" i="2"/>
  <c r="D20" i="2"/>
  <c r="D26" i="2" s="1"/>
  <c r="F80" i="2"/>
  <c r="F31" i="2"/>
  <c r="G25" i="2"/>
  <c r="F81" i="2"/>
  <c r="F84" i="2"/>
  <c r="F82" i="2"/>
  <c r="C18" i="2"/>
  <c r="H18" i="2"/>
  <c r="D24" i="2"/>
  <c r="C19" i="2"/>
  <c r="F29" i="2"/>
  <c r="G23" i="2"/>
  <c r="D23" i="2"/>
  <c r="C17" i="2"/>
  <c r="A20" i="2"/>
  <c r="A26" i="2" s="1"/>
  <c r="A32" i="2" s="1"/>
  <c r="I19" i="2"/>
  <c r="I18" i="2"/>
  <c r="I17" i="2"/>
  <c r="I16" i="2"/>
  <c r="H16" i="2" s="1"/>
  <c r="I15" i="2"/>
  <c r="H15" i="2" s="1"/>
  <c r="I14" i="2"/>
  <c r="G14" i="2" s="1"/>
  <c r="D28" i="2"/>
  <c r="C22" i="2"/>
  <c r="C15" i="2"/>
  <c r="D21" i="2"/>
  <c r="H17" i="2"/>
  <c r="G4" i="2"/>
  <c r="G243" i="2" l="1"/>
  <c r="F247" i="2"/>
  <c r="G241" i="2"/>
  <c r="F245" i="2"/>
  <c r="D348" i="2"/>
  <c r="H344" i="2"/>
  <c r="C344" i="2"/>
  <c r="H340" i="2"/>
  <c r="C340" i="2"/>
  <c r="D316" i="2"/>
  <c r="H312" i="2"/>
  <c r="C312" i="2"/>
  <c r="H308" i="2"/>
  <c r="C308" i="2"/>
  <c r="C280" i="2"/>
  <c r="D284" i="2"/>
  <c r="D288" i="2" s="1"/>
  <c r="H280" i="2"/>
  <c r="H276" i="2"/>
  <c r="C276" i="2"/>
  <c r="C250" i="2"/>
  <c r="D254" i="2"/>
  <c r="H250" i="2"/>
  <c r="D252" i="2"/>
  <c r="H248" i="2"/>
  <c r="C248" i="2"/>
  <c r="D247" i="2"/>
  <c r="C243" i="2"/>
  <c r="C241" i="2"/>
  <c r="D245" i="2"/>
  <c r="H246" i="2"/>
  <c r="C246" i="2"/>
  <c r="H244" i="2"/>
  <c r="C244" i="2"/>
  <c r="F168" i="2"/>
  <c r="C155" i="2"/>
  <c r="D163" i="2"/>
  <c r="H155" i="2"/>
  <c r="F177" i="2"/>
  <c r="G127" i="2"/>
  <c r="F135" i="2"/>
  <c r="C147" i="2"/>
  <c r="H147" i="2"/>
  <c r="H20" i="2"/>
  <c r="C20" i="2"/>
  <c r="D37" i="2"/>
  <c r="C37" i="2" s="1"/>
  <c r="F87" i="2"/>
  <c r="F93" i="2" s="1"/>
  <c r="F108" i="2" s="1"/>
  <c r="F116" i="2" s="1"/>
  <c r="F124" i="2" s="1"/>
  <c r="F132" i="2" s="1"/>
  <c r="F88" i="2"/>
  <c r="F94" i="2" s="1"/>
  <c r="F109" i="2" s="1"/>
  <c r="F117" i="2" s="1"/>
  <c r="F125" i="2" s="1"/>
  <c r="F133" i="2" s="1"/>
  <c r="F90" i="2"/>
  <c r="F96" i="2" s="1"/>
  <c r="F37" i="2"/>
  <c r="G31" i="2"/>
  <c r="F86" i="2"/>
  <c r="F92" i="2" s="1"/>
  <c r="F107" i="2" s="1"/>
  <c r="F115" i="2" s="1"/>
  <c r="F123" i="2" s="1"/>
  <c r="F131" i="2" s="1"/>
  <c r="G29" i="2"/>
  <c r="F35" i="2"/>
  <c r="C24" i="2"/>
  <c r="D30" i="2"/>
  <c r="H24" i="2"/>
  <c r="H23" i="2"/>
  <c r="C23" i="2"/>
  <c r="D29" i="2"/>
  <c r="C26" i="2"/>
  <c r="D32" i="2"/>
  <c r="H26" i="2"/>
  <c r="C21" i="2"/>
  <c r="D27" i="2"/>
  <c r="I21" i="2"/>
  <c r="I20" i="2"/>
  <c r="G20" i="2" s="1"/>
  <c r="I25" i="2"/>
  <c r="I22" i="2"/>
  <c r="H22" i="2" s="1"/>
  <c r="I24" i="2"/>
  <c r="I23" i="2"/>
  <c r="I33" i="2"/>
  <c r="H33" i="2" s="1"/>
  <c r="I32" i="2"/>
  <c r="G32" i="2" s="1"/>
  <c r="I34" i="2"/>
  <c r="H34" i="2" s="1"/>
  <c r="I37" i="2"/>
  <c r="I36" i="2"/>
  <c r="I35" i="2"/>
  <c r="I30" i="2"/>
  <c r="I29" i="2"/>
  <c r="I28" i="2"/>
  <c r="H28" i="2" s="1"/>
  <c r="I31" i="2"/>
  <c r="I27" i="2"/>
  <c r="H27" i="2" s="1"/>
  <c r="I26" i="2"/>
  <c r="G26" i="2" s="1"/>
  <c r="D34" i="2"/>
  <c r="C28" i="2"/>
  <c r="A38" i="2"/>
  <c r="G15" i="2"/>
  <c r="G6" i="2"/>
  <c r="G21" i="2" l="1"/>
  <c r="H21" i="2"/>
  <c r="G245" i="2"/>
  <c r="F249" i="2"/>
  <c r="G247" i="2"/>
  <c r="F251" i="2"/>
  <c r="C348" i="2"/>
  <c r="D352" i="2"/>
  <c r="H348" i="2"/>
  <c r="C316" i="2"/>
  <c r="H316" i="2"/>
  <c r="D320" i="2"/>
  <c r="H288" i="2"/>
  <c r="C288" i="2"/>
  <c r="H284" i="2"/>
  <c r="C284" i="2"/>
  <c r="H254" i="2"/>
  <c r="C254" i="2"/>
  <c r="D258" i="2"/>
  <c r="D262" i="2" s="1"/>
  <c r="D266" i="2" s="1"/>
  <c r="D270" i="2" s="1"/>
  <c r="D274" i="2" s="1"/>
  <c r="C245" i="2"/>
  <c r="D249" i="2"/>
  <c r="C247" i="2"/>
  <c r="D251" i="2"/>
  <c r="C252" i="2"/>
  <c r="D256" i="2"/>
  <c r="H252" i="2"/>
  <c r="F185" i="2"/>
  <c r="F193" i="2" s="1"/>
  <c r="H163" i="2"/>
  <c r="C163" i="2"/>
  <c r="D171" i="2"/>
  <c r="F176" i="2"/>
  <c r="F140" i="2"/>
  <c r="F141" i="2"/>
  <c r="F139" i="2"/>
  <c r="F143" i="2"/>
  <c r="G135" i="2"/>
  <c r="D43" i="2"/>
  <c r="C43" i="2" s="1"/>
  <c r="F43" i="2"/>
  <c r="G37" i="2"/>
  <c r="G35" i="2"/>
  <c r="F41" i="2"/>
  <c r="C30" i="2"/>
  <c r="H30" i="2"/>
  <c r="D36" i="2"/>
  <c r="D40" i="2"/>
  <c r="C34" i="2"/>
  <c r="D33" i="2"/>
  <c r="C27" i="2"/>
  <c r="I42" i="2"/>
  <c r="I41" i="2"/>
  <c r="I43" i="2"/>
  <c r="I40" i="2"/>
  <c r="H40" i="2" s="1"/>
  <c r="I39" i="2"/>
  <c r="H39" i="2" s="1"/>
  <c r="I38" i="2"/>
  <c r="D38" i="2"/>
  <c r="H32" i="2"/>
  <c r="C32" i="2"/>
  <c r="C29" i="2"/>
  <c r="D35" i="2"/>
  <c r="H29" i="2"/>
  <c r="A44" i="2"/>
  <c r="G22" i="2"/>
  <c r="G27" i="2"/>
  <c r="G33" i="2"/>
  <c r="G16" i="2"/>
  <c r="F255" i="2" l="1"/>
  <c r="G251" i="2"/>
  <c r="F253" i="2"/>
  <c r="G249" i="2"/>
  <c r="H352" i="2"/>
  <c r="C352" i="2"/>
  <c r="H320" i="2"/>
  <c r="C320" i="2"/>
  <c r="H274" i="2"/>
  <c r="C274" i="2"/>
  <c r="D278" i="2"/>
  <c r="D282" i="2" s="1"/>
  <c r="H270" i="2"/>
  <c r="C270" i="2"/>
  <c r="H266" i="2"/>
  <c r="C266" i="2"/>
  <c r="H262" i="2"/>
  <c r="C262" i="2"/>
  <c r="D255" i="2"/>
  <c r="C251" i="2"/>
  <c r="C249" i="2"/>
  <c r="D253" i="2"/>
  <c r="H258" i="2"/>
  <c r="C258" i="2"/>
  <c r="H256" i="2"/>
  <c r="C256" i="2"/>
  <c r="F201" i="2"/>
  <c r="F184" i="2"/>
  <c r="F192" i="2" s="1"/>
  <c r="D179" i="2"/>
  <c r="D187" i="2" s="1"/>
  <c r="H171" i="2"/>
  <c r="C171" i="2"/>
  <c r="F147" i="2"/>
  <c r="F155" i="2" s="1"/>
  <c r="F149" i="2"/>
  <c r="F157" i="2" s="1"/>
  <c r="G143" i="2"/>
  <c r="F151" i="2"/>
  <c r="F148" i="2"/>
  <c r="F156" i="2" s="1"/>
  <c r="D49" i="2"/>
  <c r="D55" i="2" s="1"/>
  <c r="H36" i="2"/>
  <c r="D42" i="2"/>
  <c r="C36" i="2"/>
  <c r="G41" i="2"/>
  <c r="F47" i="2"/>
  <c r="F49" i="2"/>
  <c r="G43" i="2"/>
  <c r="C35" i="2"/>
  <c r="H35" i="2"/>
  <c r="D41" i="2"/>
  <c r="I45" i="2"/>
  <c r="H45" i="2" s="1"/>
  <c r="I44" i="2"/>
  <c r="I46" i="2"/>
  <c r="H46" i="2" s="1"/>
  <c r="I49" i="2"/>
  <c r="I48" i="2"/>
  <c r="I47" i="2"/>
  <c r="H38" i="2"/>
  <c r="C38" i="2"/>
  <c r="D44" i="2"/>
  <c r="D39" i="2"/>
  <c r="C33" i="2"/>
  <c r="C40" i="2"/>
  <c r="D46" i="2"/>
  <c r="G38" i="2"/>
  <c r="A50" i="2"/>
  <c r="G24" i="2"/>
  <c r="G39" i="2"/>
  <c r="G18" i="2"/>
  <c r="G28" i="2"/>
  <c r="G34" i="2"/>
  <c r="F257" i="2" l="1"/>
  <c r="G253" i="2"/>
  <c r="F259" i="2"/>
  <c r="G255" i="2"/>
  <c r="H282" i="2"/>
  <c r="C282" i="2"/>
  <c r="D286" i="2"/>
  <c r="D290" i="2" s="1"/>
  <c r="D294" i="2" s="1"/>
  <c r="D298" i="2" s="1"/>
  <c r="D302" i="2" s="1"/>
  <c r="D306" i="2" s="1"/>
  <c r="H278" i="2"/>
  <c r="C278" i="2"/>
  <c r="D257" i="2"/>
  <c r="D261" i="2" s="1"/>
  <c r="C253" i="2"/>
  <c r="D259" i="2"/>
  <c r="D263" i="2" s="1"/>
  <c r="C255" i="2"/>
  <c r="C187" i="2"/>
  <c r="D195" i="2"/>
  <c r="H187" i="2"/>
  <c r="F200" i="2"/>
  <c r="F209" i="2"/>
  <c r="F165" i="2"/>
  <c r="F163" i="2"/>
  <c r="G151" i="2"/>
  <c r="F159" i="2"/>
  <c r="H179" i="2"/>
  <c r="C179" i="2"/>
  <c r="F164" i="2"/>
  <c r="C49" i="2"/>
  <c r="F55" i="2"/>
  <c r="G49" i="2"/>
  <c r="H42" i="2"/>
  <c r="D48" i="2"/>
  <c r="C42" i="2"/>
  <c r="F53" i="2"/>
  <c r="G47" i="2"/>
  <c r="C46" i="2"/>
  <c r="D52" i="2"/>
  <c r="D61" i="2"/>
  <c r="C55" i="2"/>
  <c r="D45" i="2"/>
  <c r="C39" i="2"/>
  <c r="C44" i="2"/>
  <c r="H44" i="2"/>
  <c r="D50" i="2"/>
  <c r="C41" i="2"/>
  <c r="H41" i="2"/>
  <c r="D47" i="2"/>
  <c r="I55" i="2"/>
  <c r="I54" i="2"/>
  <c r="I53" i="2"/>
  <c r="I52" i="2"/>
  <c r="H52" i="2" s="1"/>
  <c r="I51" i="2"/>
  <c r="H51" i="2" s="1"/>
  <c r="I50" i="2"/>
  <c r="G50" i="2" s="1"/>
  <c r="A56" i="2"/>
  <c r="G44" i="2"/>
  <c r="G45" i="2"/>
  <c r="G40" i="2"/>
  <c r="G36" i="2"/>
  <c r="G30" i="2"/>
  <c r="F263" i="2" l="1"/>
  <c r="G259" i="2"/>
  <c r="F261" i="2"/>
  <c r="G257" i="2"/>
  <c r="H306" i="2"/>
  <c r="C306" i="2"/>
  <c r="D310" i="2"/>
  <c r="D314" i="2" s="1"/>
  <c r="H302" i="2"/>
  <c r="C302" i="2"/>
  <c r="H298" i="2"/>
  <c r="C298" i="2"/>
  <c r="H294" i="2"/>
  <c r="C294" i="2"/>
  <c r="H290" i="2"/>
  <c r="C290" i="2"/>
  <c r="C286" i="2"/>
  <c r="H286" i="2"/>
  <c r="C261" i="2"/>
  <c r="D265" i="2"/>
  <c r="C263" i="2"/>
  <c r="D267" i="2"/>
  <c r="C259" i="2"/>
  <c r="C257" i="2"/>
  <c r="F208" i="2"/>
  <c r="H195" i="2"/>
  <c r="C195" i="2"/>
  <c r="D203" i="2"/>
  <c r="F217" i="2"/>
  <c r="F225" i="2" s="1"/>
  <c r="F172" i="2"/>
  <c r="F171" i="2"/>
  <c r="F167" i="2"/>
  <c r="G159" i="2"/>
  <c r="F173" i="2"/>
  <c r="H48" i="2"/>
  <c r="C48" i="2"/>
  <c r="D54" i="2"/>
  <c r="G53" i="2"/>
  <c r="F59" i="2"/>
  <c r="F61" i="2"/>
  <c r="G55" i="2"/>
  <c r="D67" i="2"/>
  <c r="C61" i="2"/>
  <c r="I57" i="2"/>
  <c r="H57" i="2" s="1"/>
  <c r="I56" i="2"/>
  <c r="G56" i="2" s="1"/>
  <c r="I58" i="2"/>
  <c r="H58" i="2" s="1"/>
  <c r="A62" i="2"/>
  <c r="A68" i="2" s="1"/>
  <c r="I61" i="2"/>
  <c r="I60" i="2"/>
  <c r="I59" i="2"/>
  <c r="C47" i="2"/>
  <c r="H47" i="2"/>
  <c r="D53" i="2"/>
  <c r="D58" i="2"/>
  <c r="C52" i="2"/>
  <c r="D51" i="2"/>
  <c r="C45" i="2"/>
  <c r="D56" i="2"/>
  <c r="H50" i="2"/>
  <c r="C50" i="2"/>
  <c r="G51" i="2"/>
  <c r="G46" i="2"/>
  <c r="G42" i="2"/>
  <c r="F265" i="2" l="1"/>
  <c r="G261" i="2"/>
  <c r="F267" i="2"/>
  <c r="G263" i="2"/>
  <c r="C314" i="2"/>
  <c r="D318" i="2"/>
  <c r="H314" i="2"/>
  <c r="H310" i="2"/>
  <c r="C310" i="2"/>
  <c r="C267" i="2"/>
  <c r="D271" i="2"/>
  <c r="C265" i="2"/>
  <c r="D269" i="2"/>
  <c r="D211" i="2"/>
  <c r="D219" i="2" s="1"/>
  <c r="C203" i="2"/>
  <c r="H203" i="2"/>
  <c r="F216" i="2"/>
  <c r="F224" i="2" s="1"/>
  <c r="F175" i="2"/>
  <c r="G167" i="2"/>
  <c r="F179" i="2"/>
  <c r="F187" i="2" s="1"/>
  <c r="F181" i="2"/>
  <c r="F189" i="2" s="1"/>
  <c r="F180" i="2"/>
  <c r="F188" i="2" s="1"/>
  <c r="F67" i="2"/>
  <c r="G61" i="2"/>
  <c r="C67" i="2"/>
  <c r="D73" i="2"/>
  <c r="F65" i="2"/>
  <c r="G59" i="2"/>
  <c r="D60" i="2"/>
  <c r="C54" i="2"/>
  <c r="H54" i="2"/>
  <c r="I72" i="2"/>
  <c r="G72" i="2" s="1"/>
  <c r="I70" i="2"/>
  <c r="I68" i="2"/>
  <c r="G68" i="2" s="1"/>
  <c r="A74" i="2"/>
  <c r="I73" i="2"/>
  <c r="I71" i="2"/>
  <c r="I69" i="2"/>
  <c r="I67" i="2"/>
  <c r="I62" i="2"/>
  <c r="G62" i="2" s="1"/>
  <c r="I64" i="2"/>
  <c r="I66" i="2"/>
  <c r="G66" i="2" s="1"/>
  <c r="I63" i="2"/>
  <c r="I65" i="2"/>
  <c r="C53" i="2"/>
  <c r="H53" i="2"/>
  <c r="D59" i="2"/>
  <c r="D62" i="2"/>
  <c r="D68" i="2" s="1"/>
  <c r="C56" i="2"/>
  <c r="H56" i="2"/>
  <c r="D57" i="2"/>
  <c r="C51" i="2"/>
  <c r="C58" i="2"/>
  <c r="D64" i="2"/>
  <c r="G57" i="2"/>
  <c r="G52" i="2"/>
  <c r="G48" i="2"/>
  <c r="G70" i="2" l="1"/>
  <c r="H70" i="2"/>
  <c r="G63" i="2"/>
  <c r="H63" i="2"/>
  <c r="G64" i="2"/>
  <c r="H64" i="2"/>
  <c r="G69" i="2"/>
  <c r="H69" i="2"/>
  <c r="G267" i="2"/>
  <c r="F271" i="2"/>
  <c r="G265" i="2"/>
  <c r="F269" i="2"/>
  <c r="H318" i="2"/>
  <c r="C318" i="2"/>
  <c r="D322" i="2"/>
  <c r="D326" i="2" s="1"/>
  <c r="D330" i="2" s="1"/>
  <c r="D334" i="2" s="1"/>
  <c r="D338" i="2" s="1"/>
  <c r="C269" i="2"/>
  <c r="D273" i="2"/>
  <c r="C271" i="2"/>
  <c r="D275" i="2"/>
  <c r="H219" i="2"/>
  <c r="C219" i="2"/>
  <c r="F196" i="2"/>
  <c r="F197" i="2"/>
  <c r="F195" i="2"/>
  <c r="C211" i="2"/>
  <c r="H211" i="2"/>
  <c r="G175" i="2"/>
  <c r="F183" i="2"/>
  <c r="C64" i="2"/>
  <c r="D70" i="2"/>
  <c r="C73" i="2"/>
  <c r="D79" i="2"/>
  <c r="C60" i="2"/>
  <c r="H60" i="2"/>
  <c r="D66" i="2"/>
  <c r="G65" i="2"/>
  <c r="F71" i="2"/>
  <c r="D74" i="2"/>
  <c r="H68" i="2"/>
  <c r="C68" i="2"/>
  <c r="I79" i="2"/>
  <c r="I77" i="2"/>
  <c r="I75" i="2"/>
  <c r="I78" i="2"/>
  <c r="G78" i="2" s="1"/>
  <c r="I76" i="2"/>
  <c r="I74" i="2"/>
  <c r="G74" i="2" s="1"/>
  <c r="A80" i="2"/>
  <c r="G67" i="2"/>
  <c r="F73" i="2"/>
  <c r="H62" i="2"/>
  <c r="C62" i="2"/>
  <c r="H59" i="2"/>
  <c r="D65" i="2"/>
  <c r="D71" i="2" s="1"/>
  <c r="C59" i="2"/>
  <c r="D63" i="2"/>
  <c r="D69" i="2" s="1"/>
  <c r="C57" i="2"/>
  <c r="G58" i="2"/>
  <c r="G54" i="2"/>
  <c r="G76" i="2" l="1"/>
  <c r="H76" i="2"/>
  <c r="G75" i="2"/>
  <c r="H75" i="2"/>
  <c r="G269" i="2"/>
  <c r="F273" i="2"/>
  <c r="G271" i="2"/>
  <c r="F275" i="2"/>
  <c r="H338" i="2"/>
  <c r="C338" i="2"/>
  <c r="D342" i="2"/>
  <c r="D346" i="2" s="1"/>
  <c r="H334" i="2"/>
  <c r="C334" i="2"/>
  <c r="H330" i="2"/>
  <c r="C330" i="2"/>
  <c r="H326" i="2"/>
  <c r="C326" i="2"/>
  <c r="H322" i="2"/>
  <c r="C322" i="2"/>
  <c r="D279" i="2"/>
  <c r="C275" i="2"/>
  <c r="C273" i="2"/>
  <c r="D277" i="2"/>
  <c r="G183" i="2"/>
  <c r="F191" i="2"/>
  <c r="F203" i="2"/>
  <c r="F205" i="2"/>
  <c r="F204" i="2"/>
  <c r="C74" i="2"/>
  <c r="H74" i="2"/>
  <c r="D80" i="2"/>
  <c r="F79" i="2"/>
  <c r="G73" i="2"/>
  <c r="D72" i="2"/>
  <c r="H66" i="2"/>
  <c r="C66" i="2"/>
  <c r="I84" i="2"/>
  <c r="G84" i="2" s="1"/>
  <c r="I82" i="2"/>
  <c r="I80" i="2"/>
  <c r="G80" i="2" s="1"/>
  <c r="A86" i="2"/>
  <c r="A92" i="2" s="1"/>
  <c r="A957" i="2" s="1"/>
  <c r="I85" i="2"/>
  <c r="I83" i="2"/>
  <c r="I81" i="2"/>
  <c r="F77" i="2"/>
  <c r="G71" i="2"/>
  <c r="C79" i="2"/>
  <c r="D85" i="2"/>
  <c r="C69" i="2"/>
  <c r="D75" i="2"/>
  <c r="D76" i="2"/>
  <c r="C70" i="2"/>
  <c r="C71" i="2"/>
  <c r="D77" i="2"/>
  <c r="H71" i="2"/>
  <c r="C63" i="2"/>
  <c r="C65" i="2"/>
  <c r="H65" i="2"/>
  <c r="G60" i="2"/>
  <c r="G81" i="2" l="1"/>
  <c r="H81" i="2"/>
  <c r="G82" i="2"/>
  <c r="H82" i="2"/>
  <c r="A99" i="2"/>
  <c r="F279" i="2"/>
  <c r="G275" i="2"/>
  <c r="G273" i="2"/>
  <c r="F277" i="2"/>
  <c r="C346" i="2"/>
  <c r="D350" i="2"/>
  <c r="H346" i="2"/>
  <c r="H342" i="2"/>
  <c r="C342" i="2"/>
  <c r="C277" i="2"/>
  <c r="D281" i="2"/>
  <c r="C279" i="2"/>
  <c r="D283" i="2"/>
  <c r="F212" i="2"/>
  <c r="F220" i="2" s="1"/>
  <c r="F213" i="2"/>
  <c r="F221" i="2" s="1"/>
  <c r="F211" i="2"/>
  <c r="F219" i="2" s="1"/>
  <c r="F199" i="2"/>
  <c r="G191" i="2"/>
  <c r="I97" i="2"/>
  <c r="I94" i="2"/>
  <c r="I95" i="2"/>
  <c r="I93" i="2"/>
  <c r="I92" i="2"/>
  <c r="G92" i="2" s="1"/>
  <c r="I96" i="2"/>
  <c r="G96" i="2" s="1"/>
  <c r="C76" i="2"/>
  <c r="D82" i="2"/>
  <c r="C85" i="2"/>
  <c r="D91" i="2"/>
  <c r="G79" i="2"/>
  <c r="F85" i="2"/>
  <c r="D81" i="2"/>
  <c r="C75" i="2"/>
  <c r="H72" i="2"/>
  <c r="D78" i="2"/>
  <c r="C72" i="2"/>
  <c r="D86" i="2"/>
  <c r="D92" i="2" s="1"/>
  <c r="H80" i="2"/>
  <c r="C80" i="2"/>
  <c r="G77" i="2"/>
  <c r="F83" i="2"/>
  <c r="D83" i="2"/>
  <c r="H77" i="2"/>
  <c r="C77" i="2"/>
  <c r="I91" i="2"/>
  <c r="I89" i="2"/>
  <c r="I87" i="2"/>
  <c r="I90" i="2"/>
  <c r="G90" i="2" s="1"/>
  <c r="I88" i="2"/>
  <c r="I86" i="2"/>
  <c r="G86" i="2" s="1"/>
  <c r="G88" i="2" l="1"/>
  <c r="H88" i="2"/>
  <c r="G87" i="2"/>
  <c r="H87" i="2"/>
  <c r="G93" i="2"/>
  <c r="H93" i="2"/>
  <c r="G94" i="2"/>
  <c r="H94" i="2"/>
  <c r="A107" i="2"/>
  <c r="I110" i="2" s="1"/>
  <c r="I104" i="2"/>
  <c r="G104" i="2" s="1"/>
  <c r="I105" i="2"/>
  <c r="G105" i="2" s="1"/>
  <c r="I106" i="2"/>
  <c r="I100" i="2"/>
  <c r="I102" i="2"/>
  <c r="I101" i="2"/>
  <c r="I103" i="2"/>
  <c r="I99" i="2"/>
  <c r="G99" i="2" s="1"/>
  <c r="F281" i="2"/>
  <c r="G277" i="2"/>
  <c r="F283" i="2"/>
  <c r="G279" i="2"/>
  <c r="H350" i="2"/>
  <c r="C350" i="2"/>
  <c r="D354" i="2"/>
  <c r="D287" i="2"/>
  <c r="C283" i="2"/>
  <c r="C281" i="2"/>
  <c r="D285" i="2"/>
  <c r="G199" i="2"/>
  <c r="F207" i="2"/>
  <c r="H99" i="2"/>
  <c r="C92" i="2"/>
  <c r="H92" i="2"/>
  <c r="C91" i="2"/>
  <c r="D97" i="2"/>
  <c r="F89" i="2"/>
  <c r="G83" i="2"/>
  <c r="C78" i="2"/>
  <c r="D84" i="2"/>
  <c r="H78" i="2"/>
  <c r="F91" i="2"/>
  <c r="G85" i="2"/>
  <c r="C86" i="2"/>
  <c r="H86" i="2"/>
  <c r="D88" i="2"/>
  <c r="C82" i="2"/>
  <c r="C83" i="2"/>
  <c r="D89" i="2"/>
  <c r="D95" i="2" s="1"/>
  <c r="D110" i="2" s="1"/>
  <c r="D118" i="2" s="1"/>
  <c r="D126" i="2" s="1"/>
  <c r="D134" i="2" s="1"/>
  <c r="H83" i="2"/>
  <c r="C81" i="2"/>
  <c r="D87" i="2"/>
  <c r="D93" i="2" s="1"/>
  <c r="I114" i="2" l="1"/>
  <c r="I108" i="2"/>
  <c r="I112" i="2"/>
  <c r="G112" i="2" s="1"/>
  <c r="G101" i="2"/>
  <c r="H101" i="2"/>
  <c r="I109" i="2"/>
  <c r="H109" i="2" s="1"/>
  <c r="G100" i="2"/>
  <c r="H100" i="2"/>
  <c r="I107" i="2"/>
  <c r="G107" i="2" s="1"/>
  <c r="I111" i="2"/>
  <c r="A115" i="2"/>
  <c r="A123" i="2" s="1"/>
  <c r="I113" i="2"/>
  <c r="G113" i="2" s="1"/>
  <c r="G283" i="2"/>
  <c r="F287" i="2"/>
  <c r="F285" i="2"/>
  <c r="G281" i="2"/>
  <c r="H354" i="2"/>
  <c r="C354" i="2"/>
  <c r="C285" i="2"/>
  <c r="D289" i="2"/>
  <c r="C287" i="2"/>
  <c r="D291" i="2"/>
  <c r="G207" i="2"/>
  <c r="F215" i="2"/>
  <c r="D142" i="2"/>
  <c r="H134" i="2"/>
  <c r="C134" i="2"/>
  <c r="H126" i="2"/>
  <c r="C126" i="2"/>
  <c r="H118" i="2"/>
  <c r="C118" i="2"/>
  <c r="H110" i="2"/>
  <c r="C110" i="2"/>
  <c r="C99" i="2"/>
  <c r="D108" i="2"/>
  <c r="D116" i="2" s="1"/>
  <c r="D124" i="2" s="1"/>
  <c r="D132" i="2" s="1"/>
  <c r="C102" i="2"/>
  <c r="H102" i="2"/>
  <c r="C97" i="2"/>
  <c r="C106" i="2"/>
  <c r="C93" i="2"/>
  <c r="G91" i="2"/>
  <c r="F97" i="2"/>
  <c r="G89" i="2"/>
  <c r="F95" i="2"/>
  <c r="H95" i="2"/>
  <c r="C95" i="2"/>
  <c r="C88" i="2"/>
  <c r="D94" i="2"/>
  <c r="H84" i="2"/>
  <c r="D90" i="2"/>
  <c r="D96" i="2" s="1"/>
  <c r="C84" i="2"/>
  <c r="C87" i="2"/>
  <c r="H89" i="2"/>
  <c r="C89" i="2"/>
  <c r="G108" i="2" l="1"/>
  <c r="H108" i="2"/>
  <c r="I121" i="2"/>
  <c r="G121" i="2" s="1"/>
  <c r="I115" i="2"/>
  <c r="G115" i="2" s="1"/>
  <c r="I119" i="2"/>
  <c r="I118" i="2"/>
  <c r="I117" i="2"/>
  <c r="I116" i="2"/>
  <c r="I120" i="2"/>
  <c r="G120" i="2" s="1"/>
  <c r="I122" i="2"/>
  <c r="A131" i="2"/>
  <c r="I123" i="2"/>
  <c r="G123" i="2" s="1"/>
  <c r="I127" i="2"/>
  <c r="I124" i="2"/>
  <c r="I126" i="2"/>
  <c r="I130" i="2"/>
  <c r="I128" i="2"/>
  <c r="G128" i="2" s="1"/>
  <c r="I125" i="2"/>
  <c r="I129" i="2"/>
  <c r="G129" i="2" s="1"/>
  <c r="G285" i="2"/>
  <c r="F289" i="2"/>
  <c r="G287" i="2"/>
  <c r="F291" i="2"/>
  <c r="C291" i="2"/>
  <c r="D295" i="2"/>
  <c r="C289" i="2"/>
  <c r="D293" i="2"/>
  <c r="G215" i="2"/>
  <c r="F223" i="2"/>
  <c r="G223" i="2" s="1"/>
  <c r="C132" i="2"/>
  <c r="D140" i="2"/>
  <c r="C142" i="2"/>
  <c r="D150" i="2"/>
  <c r="D158" i="2" s="1"/>
  <c r="H142" i="2"/>
  <c r="C124" i="2"/>
  <c r="C116" i="2"/>
  <c r="G97" i="2"/>
  <c r="D112" i="2"/>
  <c r="H104" i="2"/>
  <c r="C104" i="2"/>
  <c r="G95" i="2"/>
  <c r="F110" i="2"/>
  <c r="C100" i="2"/>
  <c r="C94" i="2"/>
  <c r="D109" i="2"/>
  <c r="C96" i="2"/>
  <c r="H96" i="2"/>
  <c r="C90" i="2"/>
  <c r="H90" i="2"/>
  <c r="G116" i="2" l="1"/>
  <c r="H116" i="2"/>
  <c r="G117" i="2"/>
  <c r="H117" i="2"/>
  <c r="G125" i="2"/>
  <c r="H125" i="2"/>
  <c r="G124" i="2"/>
  <c r="H124" i="2"/>
  <c r="I134" i="2"/>
  <c r="I132" i="2"/>
  <c r="I137" i="2"/>
  <c r="G137" i="2" s="1"/>
  <c r="I135" i="2"/>
  <c r="I131" i="2"/>
  <c r="G131" i="2" s="1"/>
  <c r="A139" i="2"/>
  <c r="I133" i="2"/>
  <c r="I138" i="2"/>
  <c r="I136" i="2"/>
  <c r="G136" i="2" s="1"/>
  <c r="G291" i="2"/>
  <c r="F295" i="2"/>
  <c r="G289" i="2"/>
  <c r="F293" i="2"/>
  <c r="C293" i="2"/>
  <c r="D297" i="2"/>
  <c r="C295" i="2"/>
  <c r="D299" i="2"/>
  <c r="D166" i="2"/>
  <c r="C158" i="2"/>
  <c r="H158" i="2"/>
  <c r="H150" i="2"/>
  <c r="C150" i="2"/>
  <c r="C140" i="2"/>
  <c r="D148" i="2"/>
  <c r="D156" i="2" s="1"/>
  <c r="F118" i="2"/>
  <c r="G110" i="2"/>
  <c r="G106" i="2"/>
  <c r="F114" i="2"/>
  <c r="C109" i="2"/>
  <c r="D117" i="2"/>
  <c r="H107" i="2"/>
  <c r="C107" i="2"/>
  <c r="H112" i="2"/>
  <c r="C112" i="2"/>
  <c r="D113" i="2"/>
  <c r="H105" i="2"/>
  <c r="C114" i="2"/>
  <c r="C105" i="2"/>
  <c r="G102" i="2"/>
  <c r="G109" i="2"/>
  <c r="C101" i="2"/>
  <c r="G132" i="2" l="1"/>
  <c r="H132" i="2"/>
  <c r="G133" i="2"/>
  <c r="H133" i="2"/>
  <c r="I141" i="2"/>
  <c r="A147" i="2"/>
  <c r="I139" i="2"/>
  <c r="G139" i="2" s="1"/>
  <c r="I143" i="2"/>
  <c r="I146" i="2"/>
  <c r="I144" i="2"/>
  <c r="G144" i="2" s="1"/>
  <c r="I142" i="2"/>
  <c r="I140" i="2"/>
  <c r="I145" i="2"/>
  <c r="G145" i="2" s="1"/>
  <c r="F297" i="2"/>
  <c r="G293" i="2"/>
  <c r="F299" i="2"/>
  <c r="G295" i="2"/>
  <c r="C299" i="2"/>
  <c r="D303" i="2"/>
  <c r="C297" i="2"/>
  <c r="D301" i="2"/>
  <c r="D174" i="2"/>
  <c r="H166" i="2"/>
  <c r="C166" i="2"/>
  <c r="C156" i="2"/>
  <c r="D164" i="2"/>
  <c r="C148" i="2"/>
  <c r="C117" i="2"/>
  <c r="D125" i="2"/>
  <c r="G118" i="2"/>
  <c r="F126" i="2"/>
  <c r="F122" i="2"/>
  <c r="G114" i="2"/>
  <c r="C122" i="2"/>
  <c r="D120" i="2"/>
  <c r="C108" i="2"/>
  <c r="H113" i="2"/>
  <c r="C113" i="2"/>
  <c r="G140" i="2" l="1"/>
  <c r="H140" i="2"/>
  <c r="G141" i="2"/>
  <c r="H141" i="2"/>
  <c r="A155" i="2"/>
  <c r="I149" i="2"/>
  <c r="I154" i="2"/>
  <c r="I147" i="2"/>
  <c r="G147" i="2" s="1"/>
  <c r="I148" i="2"/>
  <c r="I153" i="2"/>
  <c r="G153" i="2" s="1"/>
  <c r="I150" i="2"/>
  <c r="I152" i="2"/>
  <c r="G152" i="2" s="1"/>
  <c r="I151" i="2"/>
  <c r="F303" i="2"/>
  <c r="G299" i="2"/>
  <c r="G297" i="2"/>
  <c r="F301" i="2"/>
  <c r="C301" i="2"/>
  <c r="D305" i="2"/>
  <c r="C303" i="2"/>
  <c r="D307" i="2"/>
  <c r="C174" i="2"/>
  <c r="D182" i="2"/>
  <c r="D190" i="2" s="1"/>
  <c r="H174" i="2"/>
  <c r="C164" i="2"/>
  <c r="D172" i="2"/>
  <c r="G126" i="2"/>
  <c r="F134" i="2"/>
  <c r="C125" i="2"/>
  <c r="D133" i="2"/>
  <c r="G122" i="2"/>
  <c r="F130" i="2"/>
  <c r="H120" i="2"/>
  <c r="C120" i="2"/>
  <c r="D121" i="2"/>
  <c r="G149" i="2" l="1"/>
  <c r="H149" i="2"/>
  <c r="G148" i="2"/>
  <c r="H148" i="2"/>
  <c r="I159" i="2"/>
  <c r="I157" i="2"/>
  <c r="I161" i="2"/>
  <c r="G161" i="2" s="1"/>
  <c r="I155" i="2"/>
  <c r="G155" i="2" s="1"/>
  <c r="I162" i="2"/>
  <c r="I160" i="2"/>
  <c r="G160" i="2" s="1"/>
  <c r="I158" i="2"/>
  <c r="I156" i="2"/>
  <c r="A163" i="2"/>
  <c r="F305" i="2"/>
  <c r="G301" i="2"/>
  <c r="F307" i="2"/>
  <c r="G303" i="2"/>
  <c r="D311" i="2"/>
  <c r="C307" i="2"/>
  <c r="D309" i="2"/>
  <c r="C305" i="2"/>
  <c r="H190" i="2"/>
  <c r="C190" i="2"/>
  <c r="D198" i="2"/>
  <c r="D180" i="2"/>
  <c r="D188" i="2" s="1"/>
  <c r="C172" i="2"/>
  <c r="H182" i="2"/>
  <c r="C182" i="2"/>
  <c r="C133" i="2"/>
  <c r="D141" i="2"/>
  <c r="F142" i="2"/>
  <c r="G134" i="2"/>
  <c r="G130" i="2"/>
  <c r="F138" i="2"/>
  <c r="C130" i="2"/>
  <c r="D128" i="2"/>
  <c r="C121" i="2"/>
  <c r="H121" i="2"/>
  <c r="G156" i="2" l="1"/>
  <c r="H156" i="2"/>
  <c r="G157" i="2"/>
  <c r="H157" i="2"/>
  <c r="I166" i="2"/>
  <c r="I163" i="2"/>
  <c r="G163" i="2" s="1"/>
  <c r="I164" i="2"/>
  <c r="I165" i="2"/>
  <c r="A171" i="2"/>
  <c r="I170" i="2"/>
  <c r="I167" i="2"/>
  <c r="I169" i="2"/>
  <c r="G169" i="2" s="1"/>
  <c r="I168" i="2"/>
  <c r="G168" i="2" s="1"/>
  <c r="G307" i="2"/>
  <c r="F311" i="2"/>
  <c r="F309" i="2"/>
  <c r="G305" i="2"/>
  <c r="C311" i="2"/>
  <c r="D315" i="2"/>
  <c r="C309" i="2"/>
  <c r="D313" i="2"/>
  <c r="D206" i="2"/>
  <c r="H198" i="2"/>
  <c r="C198" i="2"/>
  <c r="C188" i="2"/>
  <c r="D196" i="2"/>
  <c r="C180" i="2"/>
  <c r="G138" i="2"/>
  <c r="F146" i="2"/>
  <c r="D149" i="2"/>
  <c r="C141" i="2"/>
  <c r="F150" i="2"/>
  <c r="G142" i="2"/>
  <c r="H128" i="2"/>
  <c r="C128" i="2"/>
  <c r="D129" i="2"/>
  <c r="G165" i="2" l="1"/>
  <c r="H165" i="2"/>
  <c r="G164" i="2"/>
  <c r="H164" i="2"/>
  <c r="I178" i="2"/>
  <c r="I172" i="2"/>
  <c r="A179" i="2"/>
  <c r="I175" i="2"/>
  <c r="I171" i="2"/>
  <c r="G171" i="2" s="1"/>
  <c r="I177" i="2"/>
  <c r="G177" i="2" s="1"/>
  <c r="I176" i="2"/>
  <c r="G176" i="2" s="1"/>
  <c r="I173" i="2"/>
  <c r="I174" i="2"/>
  <c r="F313" i="2"/>
  <c r="G309" i="2"/>
  <c r="F315" i="2"/>
  <c r="G311" i="2"/>
  <c r="C313" i="2"/>
  <c r="D317" i="2"/>
  <c r="C315" i="2"/>
  <c r="D319" i="2"/>
  <c r="C206" i="2"/>
  <c r="D214" i="2"/>
  <c r="D222" i="2" s="1"/>
  <c r="H206" i="2"/>
  <c r="D204" i="2"/>
  <c r="C196" i="2"/>
  <c r="C149" i="2"/>
  <c r="D157" i="2"/>
  <c r="G150" i="2"/>
  <c r="F158" i="2"/>
  <c r="C138" i="2"/>
  <c r="D136" i="2"/>
  <c r="F154" i="2"/>
  <c r="G146" i="2"/>
  <c r="C129" i="2"/>
  <c r="H129" i="2"/>
  <c r="G173" i="2" l="1"/>
  <c r="H173" i="2"/>
  <c r="G172" i="2"/>
  <c r="H172" i="2"/>
  <c r="A187" i="2"/>
  <c r="I180" i="2"/>
  <c r="I186" i="2"/>
  <c r="I181" i="2"/>
  <c r="I185" i="2"/>
  <c r="G185" i="2" s="1"/>
  <c r="I183" i="2"/>
  <c r="I179" i="2"/>
  <c r="G179" i="2" s="1"/>
  <c r="I182" i="2"/>
  <c r="I184" i="2"/>
  <c r="G184" i="2" s="1"/>
  <c r="G315" i="2"/>
  <c r="F319" i="2"/>
  <c r="F317" i="2"/>
  <c r="G313" i="2"/>
  <c r="D323" i="2"/>
  <c r="C319" i="2"/>
  <c r="D321" i="2"/>
  <c r="C317" i="2"/>
  <c r="H222" i="2"/>
  <c r="C222" i="2"/>
  <c r="C204" i="2"/>
  <c r="D212" i="2"/>
  <c r="D220" i="2" s="1"/>
  <c r="H214" i="2"/>
  <c r="C214" i="2"/>
  <c r="D165" i="2"/>
  <c r="C157" i="2"/>
  <c r="G154" i="2"/>
  <c r="F162" i="2"/>
  <c r="G158" i="2"/>
  <c r="F166" i="2"/>
  <c r="D137" i="2"/>
  <c r="H136" i="2"/>
  <c r="C136" i="2"/>
  <c r="G181" i="2" l="1"/>
  <c r="H181" i="2"/>
  <c r="G180" i="2"/>
  <c r="H180" i="2"/>
  <c r="I192" i="2"/>
  <c r="G192" i="2" s="1"/>
  <c r="I193" i="2"/>
  <c r="G193" i="2" s="1"/>
  <c r="I189" i="2"/>
  <c r="I187" i="2"/>
  <c r="G187" i="2" s="1"/>
  <c r="I190" i="2"/>
  <c r="I188" i="2"/>
  <c r="A195" i="2"/>
  <c r="I191" i="2"/>
  <c r="I194" i="2"/>
  <c r="G317" i="2"/>
  <c r="F321" i="2"/>
  <c r="G319" i="2"/>
  <c r="F323" i="2"/>
  <c r="C321" i="2"/>
  <c r="D325" i="2"/>
  <c r="C323" i="2"/>
  <c r="D327" i="2"/>
  <c r="C220" i="2"/>
  <c r="C212" i="2"/>
  <c r="G166" i="2"/>
  <c r="F174" i="2"/>
  <c r="F170" i="2"/>
  <c r="G162" i="2"/>
  <c r="C165" i="2"/>
  <c r="D173" i="2"/>
  <c r="D144" i="2"/>
  <c r="C137" i="2"/>
  <c r="H137" i="2"/>
  <c r="C146" i="2"/>
  <c r="G188" i="2" l="1"/>
  <c r="H188" i="2"/>
  <c r="G189" i="2"/>
  <c r="H189" i="2"/>
  <c r="I199" i="2"/>
  <c r="I197" i="2"/>
  <c r="I202" i="2"/>
  <c r="I195" i="2"/>
  <c r="G195" i="2" s="1"/>
  <c r="I196" i="2"/>
  <c r="A203" i="2"/>
  <c r="I200" i="2"/>
  <c r="G200" i="2" s="1"/>
  <c r="I198" i="2"/>
  <c r="I201" i="2"/>
  <c r="G201" i="2" s="1"/>
  <c r="G321" i="2"/>
  <c r="F325" i="2"/>
  <c r="G323" i="2"/>
  <c r="F327" i="2"/>
  <c r="C325" i="2"/>
  <c r="D329" i="2"/>
  <c r="C327" i="2"/>
  <c r="D331" i="2"/>
  <c r="D181" i="2"/>
  <c r="C173" i="2"/>
  <c r="F182" i="2"/>
  <c r="G174" i="2"/>
  <c r="G170" i="2"/>
  <c r="F178" i="2"/>
  <c r="C144" i="2"/>
  <c r="D145" i="2"/>
  <c r="H144" i="2"/>
  <c r="G196" i="2" l="1"/>
  <c r="H196" i="2"/>
  <c r="G197" i="2"/>
  <c r="H197" i="2"/>
  <c r="A211" i="2"/>
  <c r="I210" i="2"/>
  <c r="I208" i="2"/>
  <c r="G208" i="2" s="1"/>
  <c r="I206" i="2"/>
  <c r="I209" i="2"/>
  <c r="G209" i="2" s="1"/>
  <c r="I205" i="2"/>
  <c r="I203" i="2"/>
  <c r="G203" i="2" s="1"/>
  <c r="I204" i="2"/>
  <c r="I207" i="2"/>
  <c r="F331" i="2"/>
  <c r="G327" i="2"/>
  <c r="F329" i="2"/>
  <c r="G325" i="2"/>
  <c r="C331" i="2"/>
  <c r="D335" i="2"/>
  <c r="C329" i="2"/>
  <c r="D333" i="2"/>
  <c r="G182" i="2"/>
  <c r="F190" i="2"/>
  <c r="C181" i="2"/>
  <c r="D189" i="2"/>
  <c r="G178" i="2"/>
  <c r="F186" i="2"/>
  <c r="H145" i="2"/>
  <c r="C154" i="2"/>
  <c r="D152" i="2"/>
  <c r="C145" i="2"/>
  <c r="G204" i="2" l="1"/>
  <c r="H204" i="2"/>
  <c r="G205" i="2"/>
  <c r="H205" i="2"/>
  <c r="A219" i="2"/>
  <c r="A958" i="2" s="1"/>
  <c r="I213" i="2"/>
  <c r="I216" i="2"/>
  <c r="G216" i="2" s="1"/>
  <c r="I211" i="2"/>
  <c r="G211" i="2" s="1"/>
  <c r="I212" i="2"/>
  <c r="I217" i="2"/>
  <c r="G217" i="2" s="1"/>
  <c r="I215" i="2"/>
  <c r="I218" i="2"/>
  <c r="I214" i="2"/>
  <c r="F333" i="2"/>
  <c r="G329" i="2"/>
  <c r="G331" i="2"/>
  <c r="F335" i="2"/>
  <c r="C333" i="2"/>
  <c r="D337" i="2"/>
  <c r="C335" i="2"/>
  <c r="D339" i="2"/>
  <c r="G186" i="2"/>
  <c r="F194" i="2"/>
  <c r="D197" i="2"/>
  <c r="C189" i="2"/>
  <c r="G190" i="2"/>
  <c r="F198" i="2"/>
  <c r="H152" i="2"/>
  <c r="D153" i="2"/>
  <c r="C152" i="2"/>
  <c r="G213" i="2" l="1"/>
  <c r="H213" i="2"/>
  <c r="G212" i="2"/>
  <c r="H212" i="2"/>
  <c r="A228" i="2"/>
  <c r="I222" i="2"/>
  <c r="I220" i="2"/>
  <c r="I221" i="2"/>
  <c r="I225" i="2"/>
  <c r="G225" i="2" s="1"/>
  <c r="I226" i="2"/>
  <c r="I224" i="2"/>
  <c r="G224" i="2" s="1"/>
  <c r="I219" i="2"/>
  <c r="G219" i="2" s="1"/>
  <c r="I223" i="2"/>
  <c r="G335" i="2"/>
  <c r="F339" i="2"/>
  <c r="G333" i="2"/>
  <c r="F337" i="2"/>
  <c r="C337" i="2"/>
  <c r="D341" i="2"/>
  <c r="D343" i="2"/>
  <c r="C339" i="2"/>
  <c r="F206" i="2"/>
  <c r="G198" i="2"/>
  <c r="F202" i="2"/>
  <c r="G194" i="2"/>
  <c r="C197" i="2"/>
  <c r="D205" i="2"/>
  <c r="C162" i="2"/>
  <c r="D160" i="2"/>
  <c r="C153" i="2"/>
  <c r="H153" i="2"/>
  <c r="G220" i="2" l="1"/>
  <c r="H220" i="2"/>
  <c r="G221" i="2"/>
  <c r="H221" i="2"/>
  <c r="I229" i="2"/>
  <c r="I228" i="2"/>
  <c r="G228" i="2" s="1"/>
  <c r="I230" i="2"/>
  <c r="G230" i="2" s="1"/>
  <c r="A232" i="2"/>
  <c r="I231" i="2"/>
  <c r="G339" i="2"/>
  <c r="F343" i="2"/>
  <c r="G337" i="2"/>
  <c r="F341" i="2"/>
  <c r="C343" i="2"/>
  <c r="D347" i="2"/>
  <c r="C341" i="2"/>
  <c r="D345" i="2"/>
  <c r="D213" i="2"/>
  <c r="C205" i="2"/>
  <c r="G202" i="2"/>
  <c r="F210" i="2"/>
  <c r="F214" i="2"/>
  <c r="G206" i="2"/>
  <c r="D161" i="2"/>
  <c r="C160" i="2"/>
  <c r="H160" i="2"/>
  <c r="A236" i="2" l="1"/>
  <c r="I235" i="2"/>
  <c r="I234" i="2"/>
  <c r="G234" i="2" s="1"/>
  <c r="I233" i="2"/>
  <c r="I232" i="2"/>
  <c r="G232" i="2" s="1"/>
  <c r="G341" i="2"/>
  <c r="F345" i="2"/>
  <c r="G343" i="2"/>
  <c r="F347" i="2"/>
  <c r="C345" i="2"/>
  <c r="D349" i="2"/>
  <c r="C347" i="2"/>
  <c r="D351" i="2"/>
  <c r="G214" i="2"/>
  <c r="F222" i="2"/>
  <c r="G222" i="2" s="1"/>
  <c r="C213" i="2"/>
  <c r="D221" i="2"/>
  <c r="C221" i="2" s="1"/>
  <c r="F218" i="2"/>
  <c r="G210" i="2"/>
  <c r="H161" i="2"/>
  <c r="D168" i="2"/>
  <c r="C170" i="2"/>
  <c r="C161" i="2"/>
  <c r="I239" i="2" l="1"/>
  <c r="I237" i="2"/>
  <c r="I236" i="2"/>
  <c r="G236" i="2" s="1"/>
  <c r="I238" i="2"/>
  <c r="G238" i="2" s="1"/>
  <c r="A240" i="2"/>
  <c r="G345" i="2"/>
  <c r="F349" i="2"/>
  <c r="G347" i="2"/>
  <c r="F351" i="2"/>
  <c r="D355" i="2"/>
  <c r="C355" i="2" s="1"/>
  <c r="C351" i="2"/>
  <c r="D353" i="2"/>
  <c r="C353" i="2" s="1"/>
  <c r="C349" i="2"/>
  <c r="G218" i="2"/>
  <c r="F226" i="2"/>
  <c r="G226" i="2" s="1"/>
  <c r="D169" i="2"/>
  <c r="H168" i="2"/>
  <c r="C168" i="2"/>
  <c r="I241" i="2" l="1"/>
  <c r="I240" i="2"/>
  <c r="G240" i="2" s="1"/>
  <c r="I243" i="2"/>
  <c r="A244" i="2"/>
  <c r="I242" i="2"/>
  <c r="G242" i="2" s="1"/>
  <c r="F355" i="2"/>
  <c r="G355" i="2" s="1"/>
  <c r="G351" i="2"/>
  <c r="F353" i="2"/>
  <c r="G353" i="2" s="1"/>
  <c r="G349" i="2"/>
  <c r="D176" i="2"/>
  <c r="C169" i="2"/>
  <c r="C178" i="2"/>
  <c r="H169" i="2"/>
  <c r="I246" i="2" l="1"/>
  <c r="G246" i="2" s="1"/>
  <c r="I245" i="2"/>
  <c r="I244" i="2"/>
  <c r="G244" i="2" s="1"/>
  <c r="I247" i="2"/>
  <c r="A248" i="2"/>
  <c r="C176" i="2"/>
  <c r="D177" i="2"/>
  <c r="H176" i="2"/>
  <c r="I251" i="2" l="1"/>
  <c r="I248" i="2"/>
  <c r="G248" i="2" s="1"/>
  <c r="I249" i="2"/>
  <c r="I250" i="2"/>
  <c r="G250" i="2" s="1"/>
  <c r="A252" i="2"/>
  <c r="H177" i="2"/>
  <c r="C186" i="2"/>
  <c r="D184" i="2"/>
  <c r="C177" i="2"/>
  <c r="A256" i="2" l="1"/>
  <c r="I255" i="2"/>
  <c r="I254" i="2"/>
  <c r="G254" i="2" s="1"/>
  <c r="I252" i="2"/>
  <c r="G252" i="2" s="1"/>
  <c r="I253" i="2"/>
  <c r="D185" i="2"/>
  <c r="H184" i="2"/>
  <c r="C184" i="2"/>
  <c r="I259" i="2" l="1"/>
  <c r="I257" i="2"/>
  <c r="I256" i="2"/>
  <c r="G256" i="2" s="1"/>
  <c r="I258" i="2"/>
  <c r="G258" i="2" s="1"/>
  <c r="A260" i="2"/>
  <c r="C194" i="2"/>
  <c r="D192" i="2"/>
  <c r="C185" i="2"/>
  <c r="H185" i="2"/>
  <c r="I263" i="2" l="1"/>
  <c r="I261" i="2"/>
  <c r="I262" i="2"/>
  <c r="G262" i="2" s="1"/>
  <c r="A264" i="2"/>
  <c r="I260" i="2"/>
  <c r="G260" i="2" s="1"/>
  <c r="H192" i="2"/>
  <c r="C192" i="2"/>
  <c r="D193" i="2"/>
  <c r="A268" i="2" l="1"/>
  <c r="I265" i="2"/>
  <c r="I267" i="2"/>
  <c r="I264" i="2"/>
  <c r="G264" i="2" s="1"/>
  <c r="I266" i="2"/>
  <c r="G266" i="2" s="1"/>
  <c r="H193" i="2"/>
  <c r="C202" i="2"/>
  <c r="D200" i="2"/>
  <c r="C193" i="2"/>
  <c r="A272" i="2" l="1"/>
  <c r="I271" i="2"/>
  <c r="I268" i="2"/>
  <c r="G268" i="2" s="1"/>
  <c r="I270" i="2"/>
  <c r="G270" i="2" s="1"/>
  <c r="I269" i="2"/>
  <c r="D201" i="2"/>
  <c r="H200" i="2"/>
  <c r="C200" i="2"/>
  <c r="I272" i="2" l="1"/>
  <c r="G272" i="2" s="1"/>
  <c r="A276" i="2"/>
  <c r="I275" i="2"/>
  <c r="I274" i="2"/>
  <c r="G274" i="2" s="1"/>
  <c r="I273" i="2"/>
  <c r="D208" i="2"/>
  <c r="C208" i="2" s="1"/>
  <c r="C201" i="2"/>
  <c r="C210" i="2"/>
  <c r="H201" i="2"/>
  <c r="I278" i="2" l="1"/>
  <c r="G278" i="2" s="1"/>
  <c r="I277" i="2"/>
  <c r="A280" i="2"/>
  <c r="I276" i="2"/>
  <c r="G276" i="2" s="1"/>
  <c r="I279" i="2"/>
  <c r="D209" i="2"/>
  <c r="H208" i="2"/>
  <c r="I282" i="2" l="1"/>
  <c r="G282" i="2" s="1"/>
  <c r="A284" i="2"/>
  <c r="I281" i="2"/>
  <c r="I283" i="2"/>
  <c r="I280" i="2"/>
  <c r="G280" i="2" s="1"/>
  <c r="H209" i="2"/>
  <c r="C218" i="2"/>
  <c r="D216" i="2"/>
  <c r="C209" i="2"/>
  <c r="A288" i="2" l="1"/>
  <c r="I286" i="2"/>
  <c r="G286" i="2" s="1"/>
  <c r="I287" i="2"/>
  <c r="I285" i="2"/>
  <c r="I284" i="2"/>
  <c r="G284" i="2" s="1"/>
  <c r="H216" i="2"/>
  <c r="D217" i="2"/>
  <c r="C216" i="2"/>
  <c r="I291" i="2" l="1"/>
  <c r="I290" i="2"/>
  <c r="G290" i="2" s="1"/>
  <c r="A292" i="2"/>
  <c r="I288" i="2"/>
  <c r="G288" i="2" s="1"/>
  <c r="I289" i="2"/>
  <c r="C226" i="2"/>
  <c r="D224" i="2"/>
  <c r="C217" i="2"/>
  <c r="H217" i="2"/>
  <c r="A296" i="2" l="1"/>
  <c r="I294" i="2"/>
  <c r="G294" i="2" s="1"/>
  <c r="I295" i="2"/>
  <c r="I292" i="2"/>
  <c r="G292" i="2" s="1"/>
  <c r="I293" i="2"/>
  <c r="H224" i="2"/>
  <c r="C224" i="2"/>
  <c r="D225" i="2"/>
  <c r="I299" i="2" l="1"/>
  <c r="A300" i="2"/>
  <c r="I296" i="2"/>
  <c r="G296" i="2" s="1"/>
  <c r="I297" i="2"/>
  <c r="I298" i="2"/>
  <c r="G298" i="2" s="1"/>
  <c r="C225" i="2"/>
  <c r="H225" i="2"/>
  <c r="A304" i="2" l="1"/>
  <c r="I303" i="2"/>
  <c r="I302" i="2"/>
  <c r="G302" i="2" s="1"/>
  <c r="I301" i="2"/>
  <c r="I300" i="2"/>
  <c r="G300" i="2" s="1"/>
  <c r="A308" i="2" l="1"/>
  <c r="I306" i="2"/>
  <c r="G306" i="2" s="1"/>
  <c r="I307" i="2"/>
  <c r="I304" i="2"/>
  <c r="G304" i="2" s="1"/>
  <c r="I305" i="2"/>
  <c r="A312" i="2" l="1"/>
  <c r="I311" i="2"/>
  <c r="I309" i="2"/>
  <c r="I310" i="2"/>
  <c r="G310" i="2" s="1"/>
  <c r="I308" i="2"/>
  <c r="G308" i="2" s="1"/>
  <c r="I312" i="2" l="1"/>
  <c r="G312" i="2" s="1"/>
  <c r="I313" i="2"/>
  <c r="A316" i="2"/>
  <c r="I315" i="2"/>
  <c r="I314" i="2"/>
  <c r="G314" i="2" s="1"/>
  <c r="I318" i="2" l="1"/>
  <c r="G318" i="2" s="1"/>
  <c r="I317" i="2"/>
  <c r="A320" i="2"/>
  <c r="I316" i="2"/>
  <c r="G316" i="2" s="1"/>
  <c r="I319" i="2"/>
  <c r="A324" i="2" l="1"/>
  <c r="I323" i="2"/>
  <c r="I320" i="2"/>
  <c r="G320" i="2" s="1"/>
  <c r="I322" i="2"/>
  <c r="G322" i="2" s="1"/>
  <c r="I321" i="2"/>
  <c r="I326" i="2" l="1"/>
  <c r="G326" i="2" s="1"/>
  <c r="I324" i="2"/>
  <c r="G324" i="2" s="1"/>
  <c r="I325" i="2"/>
  <c r="I327" i="2"/>
  <c r="A328" i="2"/>
  <c r="I329" i="2" l="1"/>
  <c r="A332" i="2"/>
  <c r="I328" i="2"/>
  <c r="G328" i="2" s="1"/>
  <c r="I330" i="2"/>
  <c r="G330" i="2" s="1"/>
  <c r="I331" i="2"/>
  <c r="I335" i="2" l="1"/>
  <c r="I333" i="2"/>
  <c r="A336" i="2"/>
  <c r="I334" i="2"/>
  <c r="G334" i="2" s="1"/>
  <c r="I332" i="2"/>
  <c r="G332" i="2" s="1"/>
  <c r="I339" i="2" l="1"/>
  <c r="A340" i="2"/>
  <c r="I337" i="2"/>
  <c r="I338" i="2"/>
  <c r="G338" i="2" s="1"/>
  <c r="I336" i="2"/>
  <c r="G336" i="2" s="1"/>
  <c r="A344" i="2" l="1"/>
  <c r="I343" i="2"/>
  <c r="I340" i="2"/>
  <c r="G340" i="2" s="1"/>
  <c r="I342" i="2"/>
  <c r="G342" i="2" s="1"/>
  <c r="I341" i="2"/>
  <c r="A348" i="2" l="1"/>
  <c r="I345" i="2"/>
  <c r="I344" i="2"/>
  <c r="G344" i="2" s="1"/>
  <c r="I347" i="2"/>
  <c r="I346" i="2"/>
  <c r="G346" i="2" s="1"/>
  <c r="A352" i="2" l="1"/>
  <c r="I349" i="2"/>
  <c r="I351" i="2"/>
  <c r="I348" i="2"/>
  <c r="G348" i="2" s="1"/>
  <c r="I350" i="2"/>
  <c r="G350" i="2" s="1"/>
  <c r="A357" i="2" l="1"/>
  <c r="I352" i="2"/>
  <c r="G352" i="2" s="1"/>
  <c r="I355" i="2"/>
  <c r="I354" i="2"/>
  <c r="G354" i="2" s="1"/>
  <c r="I353" i="2"/>
  <c r="A361" i="2" l="1"/>
  <c r="A365" i="2" s="1"/>
  <c r="A369" i="2" s="1"/>
  <c r="A373" i="2" s="1"/>
  <c r="I360" i="2"/>
  <c r="I357" i="2"/>
  <c r="I359" i="2"/>
  <c r="I358" i="2"/>
  <c r="H357" i="2" l="1"/>
  <c r="G357" i="2"/>
  <c r="G358" i="2"/>
  <c r="H358" i="2"/>
  <c r="I363" i="2"/>
  <c r="I364" i="2"/>
  <c r="I361" i="2"/>
  <c r="I362" i="2"/>
  <c r="I375" i="2"/>
  <c r="I373" i="2"/>
  <c r="A377" i="2"/>
  <c r="I376" i="2"/>
  <c r="I374" i="2"/>
  <c r="I372" i="2"/>
  <c r="I370" i="2"/>
  <c r="I371" i="2"/>
  <c r="I369" i="2"/>
  <c r="I368" i="2"/>
  <c r="I366" i="2"/>
  <c r="I367" i="2"/>
  <c r="I365" i="2"/>
  <c r="G361" i="2" l="1"/>
  <c r="H361" i="2"/>
  <c r="G362" i="2"/>
  <c r="H362" i="2"/>
  <c r="G365" i="2"/>
  <c r="H365" i="2"/>
  <c r="G366" i="2"/>
  <c r="H366" i="2"/>
  <c r="G373" i="2"/>
  <c r="H373" i="2"/>
  <c r="G369" i="2"/>
  <c r="H369" i="2"/>
  <c r="G370" i="2"/>
  <c r="H370" i="2"/>
  <c r="G374" i="2"/>
  <c r="H374" i="2"/>
  <c r="I377" i="2"/>
  <c r="A381" i="2"/>
  <c r="A385" i="2" s="1"/>
  <c r="I380" i="2"/>
  <c r="I378" i="2"/>
  <c r="I379" i="2"/>
  <c r="G377" i="2" l="1"/>
  <c r="H377" i="2"/>
  <c r="G378" i="2"/>
  <c r="H378" i="2"/>
  <c r="A389" i="2"/>
  <c r="I388" i="2"/>
  <c r="I386" i="2"/>
  <c r="I387" i="2"/>
  <c r="I385" i="2"/>
  <c r="I384" i="2"/>
  <c r="I381" i="2"/>
  <c r="I382" i="2"/>
  <c r="I383" i="2"/>
  <c r="G382" i="2" l="1"/>
  <c r="H382" i="2"/>
  <c r="G386" i="2"/>
  <c r="H386" i="2"/>
  <c r="G381" i="2"/>
  <c r="H381" i="2"/>
  <c r="G385" i="2"/>
  <c r="H385" i="2"/>
  <c r="I392" i="2"/>
  <c r="I391" i="2"/>
  <c r="I389" i="2"/>
  <c r="A393" i="2"/>
  <c r="I390" i="2"/>
  <c r="G389" i="2" l="1"/>
  <c r="H389" i="2"/>
  <c r="G390" i="2"/>
  <c r="H390" i="2"/>
  <c r="A397" i="2"/>
  <c r="I396" i="2"/>
  <c r="I394" i="2"/>
  <c r="I395" i="2"/>
  <c r="I393" i="2"/>
  <c r="G393" i="2" l="1"/>
  <c r="H393" i="2"/>
  <c r="G394" i="2"/>
  <c r="H394" i="2"/>
  <c r="I399" i="2"/>
  <c r="I397" i="2"/>
  <c r="A401" i="2"/>
  <c r="I400" i="2"/>
  <c r="I398" i="2"/>
  <c r="G397" i="2" l="1"/>
  <c r="H397" i="2"/>
  <c r="G398" i="2"/>
  <c r="H398" i="2"/>
  <c r="I401" i="2"/>
  <c r="A405" i="2"/>
  <c r="A409" i="2" s="1"/>
  <c r="I404" i="2"/>
  <c r="I402" i="2"/>
  <c r="I403" i="2"/>
  <c r="G402" i="2" l="1"/>
  <c r="H402" i="2"/>
  <c r="G401" i="2"/>
  <c r="H401" i="2"/>
  <c r="I410" i="2"/>
  <c r="I411" i="2"/>
  <c r="I409" i="2"/>
  <c r="A413" i="2"/>
  <c r="I412" i="2"/>
  <c r="I408" i="2"/>
  <c r="I405" i="2"/>
  <c r="I406" i="2"/>
  <c r="I407" i="2"/>
  <c r="G405" i="2" l="1"/>
  <c r="H405" i="2"/>
  <c r="G406" i="2"/>
  <c r="H406" i="2"/>
  <c r="G409" i="2"/>
  <c r="H409" i="2"/>
  <c r="G410" i="2"/>
  <c r="H410" i="2"/>
  <c r="I413" i="2"/>
  <c r="A417" i="2"/>
  <c r="I416" i="2"/>
  <c r="I414" i="2"/>
  <c r="I415" i="2"/>
  <c r="G414" i="2" l="1"/>
  <c r="H414" i="2"/>
  <c r="G413" i="2"/>
  <c r="H413" i="2"/>
  <c r="A422" i="2"/>
  <c r="I424" i="2" s="1"/>
  <c r="H424" i="2" s="1"/>
  <c r="A959" i="2"/>
  <c r="I420" i="2"/>
  <c r="I418" i="2"/>
  <c r="I419" i="2"/>
  <c r="I417" i="2"/>
  <c r="G417" i="2" l="1"/>
  <c r="H417" i="2"/>
  <c r="G418" i="2"/>
  <c r="H418" i="2"/>
  <c r="I422" i="2"/>
  <c r="I423" i="2"/>
  <c r="A426" i="2"/>
  <c r="I429" i="2" s="1"/>
  <c r="I425" i="2"/>
  <c r="A430" i="2" l="1"/>
  <c r="A434" i="2" s="1"/>
  <c r="A438" i="2" s="1"/>
  <c r="I438" i="2" s="1"/>
  <c r="I428" i="2"/>
  <c r="H428" i="2" s="1"/>
  <c r="I426" i="2"/>
  <c r="H426" i="2" s="1"/>
  <c r="I427" i="2"/>
  <c r="G426" i="2"/>
  <c r="G422" i="2"/>
  <c r="H422" i="2"/>
  <c r="I434" i="2"/>
  <c r="I431" i="2"/>
  <c r="I433" i="2" l="1"/>
  <c r="I435" i="2"/>
  <c r="I436" i="2"/>
  <c r="H436" i="2" s="1"/>
  <c r="I437" i="2"/>
  <c r="I432" i="2"/>
  <c r="H432" i="2" s="1"/>
  <c r="I430" i="2"/>
  <c r="G430" i="2" s="1"/>
  <c r="I441" i="2"/>
  <c r="I440" i="2"/>
  <c r="H440" i="2" s="1"/>
  <c r="I439" i="2"/>
  <c r="A442" i="2"/>
  <c r="A446" i="2" s="1"/>
  <c r="I447" i="2" s="1"/>
  <c r="G438" i="2"/>
  <c r="H438" i="2"/>
  <c r="G434" i="2"/>
  <c r="H434" i="2"/>
  <c r="A450" i="2" l="1"/>
  <c r="A454" i="2" s="1"/>
  <c r="H430" i="2"/>
  <c r="I449" i="2"/>
  <c r="I442" i="2"/>
  <c r="H442" i="2" s="1"/>
  <c r="I444" i="2"/>
  <c r="H444" i="2" s="1"/>
  <c r="I443" i="2"/>
  <c r="I445" i="2"/>
  <c r="I446" i="2"/>
  <c r="H446" i="2" s="1"/>
  <c r="I448" i="2"/>
  <c r="H448" i="2" s="1"/>
  <c r="G446" i="2"/>
  <c r="G442" i="2"/>
  <c r="I450" i="2"/>
  <c r="I452" i="2" l="1"/>
  <c r="H452" i="2" s="1"/>
  <c r="I453" i="2"/>
  <c r="I451" i="2"/>
  <c r="G450" i="2"/>
  <c r="H450" i="2"/>
  <c r="I454" i="2"/>
  <c r="A458" i="2"/>
  <c r="A462" i="2" s="1"/>
  <c r="I457" i="2"/>
  <c r="I455" i="2"/>
  <c r="I456" i="2"/>
  <c r="H456" i="2" s="1"/>
  <c r="G454" i="2" l="1"/>
  <c r="H454" i="2"/>
  <c r="A466" i="2"/>
  <c r="I465" i="2"/>
  <c r="I463" i="2"/>
  <c r="I464" i="2"/>
  <c r="H464" i="2" s="1"/>
  <c r="I462" i="2"/>
  <c r="I461" i="2"/>
  <c r="I459" i="2"/>
  <c r="I460" i="2"/>
  <c r="H460" i="2" s="1"/>
  <c r="I458" i="2"/>
  <c r="G458" i="2" l="1"/>
  <c r="H458" i="2"/>
  <c r="G462" i="2"/>
  <c r="H462" i="2"/>
  <c r="I468" i="2"/>
  <c r="H468" i="2" s="1"/>
  <c r="A470" i="2"/>
  <c r="I466" i="2"/>
  <c r="I469" i="2"/>
  <c r="I467" i="2"/>
  <c r="G466" i="2" l="1"/>
  <c r="H466" i="2"/>
  <c r="I470" i="2"/>
  <c r="A474" i="2"/>
  <c r="I473" i="2"/>
  <c r="I471" i="2"/>
  <c r="I472" i="2"/>
  <c r="H472" i="2" s="1"/>
  <c r="G470" i="2" l="1"/>
  <c r="H470" i="2"/>
  <c r="I477" i="2"/>
  <c r="I475" i="2"/>
  <c r="I476" i="2"/>
  <c r="H476" i="2" s="1"/>
  <c r="I474" i="2"/>
  <c r="A478" i="2"/>
  <c r="G474" i="2" l="1"/>
  <c r="H474" i="2"/>
  <c r="I478" i="2"/>
  <c r="I480" i="2"/>
  <c r="H480" i="2" s="1"/>
  <c r="A482" i="2"/>
  <c r="I481" i="2"/>
  <c r="I479" i="2"/>
  <c r="G478" i="2" l="1"/>
  <c r="H478" i="2"/>
  <c r="I488" i="2"/>
  <c r="A960" i="2"/>
  <c r="I485" i="2"/>
  <c r="I483" i="2"/>
  <c r="I484" i="2"/>
  <c r="H484" i="2" s="1"/>
  <c r="I482" i="2"/>
  <c r="I491" i="2" l="1"/>
  <c r="I492" i="2"/>
  <c r="H492" i="2" s="1"/>
  <c r="I487" i="2"/>
  <c r="A494" i="2"/>
  <c r="I497" i="2" s="1"/>
  <c r="H497" i="2" s="1"/>
  <c r="I490" i="2"/>
  <c r="H490" i="2" s="1"/>
  <c r="G487" i="2"/>
  <c r="H487" i="2"/>
  <c r="G488" i="2"/>
  <c r="H488" i="2"/>
  <c r="G482" i="2"/>
  <c r="H482" i="2"/>
  <c r="I493" i="2"/>
  <c r="G492" i="2"/>
  <c r="I499" i="2" l="1"/>
  <c r="H499" i="2" s="1"/>
  <c r="I500" i="2"/>
  <c r="A501" i="2"/>
  <c r="I504" i="2" s="1"/>
  <c r="H504" i="2" s="1"/>
  <c r="I498" i="2"/>
  <c r="I495" i="2"/>
  <c r="I494" i="2"/>
  <c r="G494" i="2" l="1"/>
  <c r="H494" i="2"/>
  <c r="G495" i="2"/>
  <c r="H495" i="2"/>
  <c r="I506" i="2"/>
  <c r="H506" i="2" s="1"/>
  <c r="I501" i="2"/>
  <c r="I507" i="2"/>
  <c r="I502" i="2"/>
  <c r="A508" i="2"/>
  <c r="I511" i="2" s="1"/>
  <c r="H511" i="2" s="1"/>
  <c r="I505" i="2"/>
  <c r="G502" i="2" l="1"/>
  <c r="H502" i="2"/>
  <c r="G501" i="2"/>
  <c r="H501" i="2"/>
  <c r="I508" i="2"/>
  <c r="I512" i="2"/>
  <c r="I514" i="2"/>
  <c r="A515" i="2"/>
  <c r="I518" i="2" s="1"/>
  <c r="H518" i="2" s="1"/>
  <c r="I513" i="2"/>
  <c r="H513" i="2" s="1"/>
  <c r="I509" i="2"/>
  <c r="G509" i="2" l="1"/>
  <c r="H509" i="2"/>
  <c r="G508" i="2"/>
  <c r="H508" i="2"/>
  <c r="I521" i="2"/>
  <c r="I515" i="2"/>
  <c r="A522" i="2"/>
  <c r="I525" i="2" s="1"/>
  <c r="H525" i="2" s="1"/>
  <c r="I519" i="2"/>
  <c r="I520" i="2"/>
  <c r="H520" i="2" s="1"/>
  <c r="I516" i="2"/>
  <c r="G516" i="2" l="1"/>
  <c r="H516" i="2"/>
  <c r="G515" i="2"/>
  <c r="H515" i="2"/>
  <c r="I528" i="2"/>
  <c r="I523" i="2"/>
  <c r="A529" i="2"/>
  <c r="I532" i="2" s="1"/>
  <c r="H532" i="2" s="1"/>
  <c r="I526" i="2"/>
  <c r="I522" i="2"/>
  <c r="I527" i="2"/>
  <c r="H527" i="2" s="1"/>
  <c r="G522" i="2" l="1"/>
  <c r="H522" i="2"/>
  <c r="G523" i="2"/>
  <c r="H523" i="2"/>
  <c r="I533" i="2"/>
  <c r="A536" i="2"/>
  <c r="I539" i="2" s="1"/>
  <c r="H539" i="2" s="1"/>
  <c r="I535" i="2"/>
  <c r="I530" i="2"/>
  <c r="I529" i="2"/>
  <c r="I534" i="2"/>
  <c r="H534" i="2" s="1"/>
  <c r="G529" i="2" l="1"/>
  <c r="H529" i="2"/>
  <c r="G530" i="2"/>
  <c r="H530" i="2"/>
  <c r="I541" i="2"/>
  <c r="H541" i="2" s="1"/>
  <c r="I542" i="2"/>
  <c r="I540" i="2"/>
  <c r="I537" i="2"/>
  <c r="A543" i="2"/>
  <c r="I546" i="2" s="1"/>
  <c r="H546" i="2" s="1"/>
  <c r="I536" i="2"/>
  <c r="G536" i="2" l="1"/>
  <c r="H536" i="2"/>
  <c r="G537" i="2"/>
  <c r="H537" i="2"/>
  <c r="A550" i="2"/>
  <c r="I553" i="2" s="1"/>
  <c r="H553" i="2" s="1"/>
  <c r="I547" i="2"/>
  <c r="I549" i="2"/>
  <c r="I543" i="2"/>
  <c r="I548" i="2"/>
  <c r="H548" i="2" s="1"/>
  <c r="I544" i="2"/>
  <c r="G543" i="2" l="1"/>
  <c r="H543" i="2"/>
  <c r="G544" i="2"/>
  <c r="H544" i="2"/>
  <c r="I551" i="2"/>
  <c r="I556" i="2"/>
  <c r="I554" i="2"/>
  <c r="I550" i="2"/>
  <c r="I555" i="2"/>
  <c r="H555" i="2" s="1"/>
  <c r="A557" i="2"/>
  <c r="I560" i="2" s="1"/>
  <c r="H560" i="2" s="1"/>
  <c r="G550" i="2" l="1"/>
  <c r="H550" i="2"/>
  <c r="G551" i="2"/>
  <c r="H551" i="2"/>
  <c r="A564" i="2"/>
  <c r="I567" i="2" s="1"/>
  <c r="H567" i="2" s="1"/>
  <c r="I561" i="2"/>
  <c r="I558" i="2"/>
  <c r="I557" i="2"/>
  <c r="I562" i="2"/>
  <c r="H562" i="2" s="1"/>
  <c r="I563" i="2"/>
  <c r="G557" i="2" l="1"/>
  <c r="H557" i="2"/>
  <c r="G558" i="2"/>
  <c r="H558" i="2"/>
  <c r="I568" i="2"/>
  <c r="I565" i="2"/>
  <c r="I570" i="2"/>
  <c r="A571" i="2"/>
  <c r="I574" i="2" s="1"/>
  <c r="H574" i="2" s="1"/>
  <c r="I564" i="2"/>
  <c r="I569" i="2"/>
  <c r="H569" i="2" s="1"/>
  <c r="G564" i="2" l="1"/>
  <c r="H564" i="2"/>
  <c r="G565" i="2"/>
  <c r="H565" i="2"/>
  <c r="A578" i="2"/>
  <c r="I581" i="2" s="1"/>
  <c r="H581" i="2" s="1"/>
  <c r="I577" i="2"/>
  <c r="I575" i="2"/>
  <c r="I571" i="2"/>
  <c r="I576" i="2"/>
  <c r="H576" i="2" s="1"/>
  <c r="I572" i="2"/>
  <c r="G572" i="2" l="1"/>
  <c r="H572" i="2"/>
  <c r="G571" i="2"/>
  <c r="H571" i="2"/>
  <c r="I578" i="2"/>
  <c r="I584" i="2"/>
  <c r="A585" i="2"/>
  <c r="I588" i="2" s="1"/>
  <c r="H588" i="2" s="1"/>
  <c r="I582" i="2"/>
  <c r="I579" i="2"/>
  <c r="I583" i="2"/>
  <c r="H583" i="2" s="1"/>
  <c r="G579" i="2" l="1"/>
  <c r="H579" i="2"/>
  <c r="G578" i="2"/>
  <c r="H578" i="2"/>
  <c r="I586" i="2"/>
  <c r="I590" i="2"/>
  <c r="H590" i="2" s="1"/>
  <c r="I585" i="2"/>
  <c r="A592" i="2"/>
  <c r="I595" i="2" s="1"/>
  <c r="H595" i="2" s="1"/>
  <c r="I591" i="2"/>
  <c r="I589" i="2"/>
  <c r="G585" i="2" l="1"/>
  <c r="H585" i="2"/>
  <c r="G586" i="2"/>
  <c r="H586" i="2"/>
  <c r="A599" i="2"/>
  <c r="I602" i="2" s="1"/>
  <c r="H602" i="2" s="1"/>
  <c r="I598" i="2"/>
  <c r="I596" i="2"/>
  <c r="I593" i="2"/>
  <c r="I592" i="2"/>
  <c r="I597" i="2"/>
  <c r="H597" i="2" s="1"/>
  <c r="G592" i="2" l="1"/>
  <c r="H592" i="2"/>
  <c r="G593" i="2"/>
  <c r="H593" i="2"/>
  <c r="I605" i="2"/>
  <c r="I600" i="2"/>
  <c r="I599" i="2"/>
  <c r="I603" i="2"/>
  <c r="A606" i="2"/>
  <c r="I609" i="2" s="1"/>
  <c r="H609" i="2" s="1"/>
  <c r="I604" i="2"/>
  <c r="H604" i="2" s="1"/>
  <c r="G599" i="2" l="1"/>
  <c r="H599" i="2"/>
  <c r="G600" i="2"/>
  <c r="H600" i="2"/>
  <c r="A613" i="2"/>
  <c r="I612" i="2"/>
  <c r="I610" i="2"/>
  <c r="I606" i="2"/>
  <c r="I611" i="2"/>
  <c r="H611" i="2" s="1"/>
  <c r="I607" i="2"/>
  <c r="G606" i="2" l="1"/>
  <c r="H606" i="2"/>
  <c r="G607" i="2"/>
  <c r="H607" i="2"/>
  <c r="A620" i="2"/>
  <c r="I623" i="2" s="1"/>
  <c r="H623" i="2" s="1"/>
  <c r="I613" i="2"/>
  <c r="H618" i="2"/>
  <c r="G613" i="2" l="1"/>
  <c r="H613" i="2"/>
  <c r="G614" i="2"/>
  <c r="H614" i="2"/>
  <c r="I621" i="2"/>
  <c r="A627" i="2"/>
  <c r="I630" i="2" s="1"/>
  <c r="H630" i="2" s="1"/>
  <c r="I624" i="2"/>
  <c r="I625" i="2"/>
  <c r="H625" i="2" s="1"/>
  <c r="I626" i="2"/>
  <c r="I620" i="2"/>
  <c r="G620" i="2" l="1"/>
  <c r="H620" i="2"/>
  <c r="G621" i="2"/>
  <c r="H621" i="2"/>
  <c r="A634" i="2"/>
  <c r="I637" i="2" s="1"/>
  <c r="H637" i="2" s="1"/>
  <c r="I633" i="2"/>
  <c r="I631" i="2"/>
  <c r="I627" i="2"/>
  <c r="I632" i="2"/>
  <c r="H632" i="2" s="1"/>
  <c r="I628" i="2"/>
  <c r="G628" i="2" l="1"/>
  <c r="H628" i="2"/>
  <c r="G627" i="2"/>
  <c r="H627" i="2"/>
  <c r="I634" i="2"/>
  <c r="I639" i="2"/>
  <c r="H639" i="2" s="1"/>
  <c r="I640" i="2"/>
  <c r="I635" i="2"/>
  <c r="A641" i="2"/>
  <c r="I644" i="2" s="1"/>
  <c r="H644" i="2" s="1"/>
  <c r="I638" i="2"/>
  <c r="G635" i="2" l="1"/>
  <c r="H635" i="2"/>
  <c r="G634" i="2"/>
  <c r="H634" i="2"/>
  <c r="I642" i="2"/>
  <c r="I645" i="2"/>
  <c r="I641" i="2"/>
  <c r="I647" i="2"/>
  <c r="A648" i="2"/>
  <c r="I651" i="2" s="1"/>
  <c r="H651" i="2" s="1"/>
  <c r="I646" i="2"/>
  <c r="H646" i="2" s="1"/>
  <c r="G642" i="2" l="1"/>
  <c r="H642" i="2"/>
  <c r="G641" i="2"/>
  <c r="H641" i="2"/>
  <c r="I654" i="2"/>
  <c r="I653" i="2"/>
  <c r="H653" i="2" s="1"/>
  <c r="I652" i="2"/>
  <c r="A655" i="2"/>
  <c r="I658" i="2" s="1"/>
  <c r="H658" i="2" s="1"/>
  <c r="I648" i="2"/>
  <c r="I649" i="2"/>
  <c r="G649" i="2" l="1"/>
  <c r="H649" i="2"/>
  <c r="G648" i="2"/>
  <c r="H648" i="2"/>
  <c r="A662" i="2"/>
  <c r="I665" i="2" s="1"/>
  <c r="H665" i="2" s="1"/>
  <c r="I659" i="2"/>
  <c r="I660" i="2"/>
  <c r="H660" i="2" s="1"/>
  <c r="I656" i="2"/>
  <c r="I661" i="2"/>
  <c r="I655" i="2"/>
  <c r="G655" i="2" l="1"/>
  <c r="H655" i="2"/>
  <c r="G656" i="2"/>
  <c r="H656" i="2"/>
  <c r="I668" i="2"/>
  <c r="I667" i="2"/>
  <c r="H667" i="2" s="1"/>
  <c r="I666" i="2"/>
  <c r="I662" i="2"/>
  <c r="I663" i="2"/>
  <c r="A669" i="2"/>
  <c r="I672" i="2" s="1"/>
  <c r="H672" i="2" s="1"/>
  <c r="G662" i="2" l="1"/>
  <c r="H662" i="2"/>
  <c r="G663" i="2"/>
  <c r="H663" i="2"/>
  <c r="I669" i="2"/>
  <c r="I674" i="2"/>
  <c r="H674" i="2" s="1"/>
  <c r="A676" i="2"/>
  <c r="I679" i="2" s="1"/>
  <c r="H679" i="2" s="1"/>
  <c r="I675" i="2"/>
  <c r="I673" i="2"/>
  <c r="I670" i="2"/>
  <c r="G670" i="2" l="1"/>
  <c r="H670" i="2"/>
  <c r="G669" i="2"/>
  <c r="H669" i="2"/>
  <c r="I682" i="2"/>
  <c r="I680" i="2"/>
  <c r="I681" i="2"/>
  <c r="H681" i="2" s="1"/>
  <c r="I676" i="2"/>
  <c r="I677" i="2"/>
  <c r="A683" i="2"/>
  <c r="I686" i="2" s="1"/>
  <c r="H686" i="2" s="1"/>
  <c r="G677" i="2" l="1"/>
  <c r="H677" i="2"/>
  <c r="G676" i="2"/>
  <c r="H676" i="2"/>
  <c r="A690" i="2"/>
  <c r="I693" i="2" s="1"/>
  <c r="H693" i="2" s="1"/>
  <c r="I687" i="2"/>
  <c r="I688" i="2"/>
  <c r="H688" i="2" s="1"/>
  <c r="I684" i="2"/>
  <c r="I683" i="2"/>
  <c r="I689" i="2"/>
  <c r="G684" i="2" l="1"/>
  <c r="H684" i="2"/>
  <c r="G683" i="2"/>
  <c r="H683" i="2"/>
  <c r="A697" i="2"/>
  <c r="I700" i="2" s="1"/>
  <c r="H700" i="2" s="1"/>
  <c r="I694" i="2"/>
  <c r="I695" i="2"/>
  <c r="H695" i="2" s="1"/>
  <c r="I691" i="2"/>
  <c r="I696" i="2"/>
  <c r="I690" i="2"/>
  <c r="G691" i="2" l="1"/>
  <c r="H691" i="2"/>
  <c r="G690" i="2"/>
  <c r="H690" i="2"/>
  <c r="I703" i="2"/>
  <c r="I697" i="2"/>
  <c r="A704" i="2"/>
  <c r="I707" i="2" s="1"/>
  <c r="H707" i="2" s="1"/>
  <c r="I702" i="2"/>
  <c r="H702" i="2" s="1"/>
  <c r="I698" i="2"/>
  <c r="I701" i="2"/>
  <c r="G698" i="2" l="1"/>
  <c r="H698" i="2"/>
  <c r="G697" i="2"/>
  <c r="H697" i="2"/>
  <c r="A711" i="2"/>
  <c r="I714" i="2" s="1"/>
  <c r="H714" i="2" s="1"/>
  <c r="I710" i="2"/>
  <c r="I709" i="2"/>
  <c r="H709" i="2" s="1"/>
  <c r="I705" i="2"/>
  <c r="I704" i="2"/>
  <c r="I708" i="2"/>
  <c r="G704" i="2" l="1"/>
  <c r="H704" i="2"/>
  <c r="G705" i="2"/>
  <c r="H705" i="2"/>
  <c r="A718" i="2"/>
  <c r="I721" i="2" s="1"/>
  <c r="H721" i="2" s="1"/>
  <c r="I717" i="2"/>
  <c r="I715" i="2"/>
  <c r="I711" i="2"/>
  <c r="I712" i="2"/>
  <c r="I716" i="2"/>
  <c r="H716" i="2" s="1"/>
  <c r="G711" i="2" l="1"/>
  <c r="H711" i="2"/>
  <c r="G712" i="2"/>
  <c r="H712" i="2"/>
  <c r="I724" i="2"/>
  <c r="I718" i="2"/>
  <c r="I723" i="2"/>
  <c r="H723" i="2" s="1"/>
  <c r="I719" i="2"/>
  <c r="I722" i="2"/>
  <c r="A725" i="2"/>
  <c r="I728" i="2" s="1"/>
  <c r="H728" i="2" s="1"/>
  <c r="G719" i="2" l="1"/>
  <c r="H719" i="2"/>
  <c r="G718" i="2"/>
  <c r="H718" i="2"/>
  <c r="A732" i="2"/>
  <c r="I735" i="2" s="1"/>
  <c r="H735" i="2" s="1"/>
  <c r="I731" i="2"/>
  <c r="I729" i="2"/>
  <c r="I725" i="2"/>
  <c r="I730" i="2"/>
  <c r="H730" i="2" s="1"/>
  <c r="I726" i="2"/>
  <c r="G726" i="2" l="1"/>
  <c r="H726" i="2"/>
  <c r="G725" i="2"/>
  <c r="H725" i="2"/>
  <c r="A739" i="2"/>
  <c r="I742" i="2" s="1"/>
  <c r="H742" i="2" s="1"/>
  <c r="I733" i="2"/>
  <c r="I736" i="2"/>
  <c r="I732" i="2"/>
  <c r="I738" i="2"/>
  <c r="I737" i="2"/>
  <c r="H737" i="2" s="1"/>
  <c r="G732" i="2" l="1"/>
  <c r="H732" i="2"/>
  <c r="G733" i="2"/>
  <c r="H733" i="2"/>
  <c r="A746" i="2"/>
  <c r="I746" i="2" s="1"/>
  <c r="I745" i="2"/>
  <c r="I740" i="2"/>
  <c r="I743" i="2"/>
  <c r="I739" i="2"/>
  <c r="I744" i="2"/>
  <c r="H744" i="2" s="1"/>
  <c r="G739" i="2" l="1"/>
  <c r="H739" i="2"/>
  <c r="G740" i="2"/>
  <c r="H740" i="2"/>
  <c r="I752" i="2"/>
  <c r="I751" i="2"/>
  <c r="I750" i="2"/>
  <c r="I749" i="2"/>
  <c r="H749" i="2" s="1"/>
  <c r="I747" i="2"/>
  <c r="H747" i="2" s="1"/>
  <c r="H746" i="2"/>
  <c r="H751" i="2"/>
  <c r="A753" i="2"/>
  <c r="I753" i="2" s="1"/>
  <c r="G746" i="2"/>
  <c r="H753" i="2" l="1"/>
  <c r="I756" i="2"/>
  <c r="H756" i="2" s="1"/>
  <c r="I754" i="2"/>
  <c r="H754" i="2" s="1"/>
  <c r="I759" i="2"/>
  <c r="I757" i="2"/>
  <c r="I758" i="2"/>
  <c r="H758" i="2" s="1"/>
  <c r="G747" i="2"/>
  <c r="A760" i="2"/>
  <c r="I760" i="2" s="1"/>
  <c r="G753" i="2"/>
  <c r="G754" i="2"/>
  <c r="I766" i="2" l="1"/>
  <c r="H760" i="2"/>
  <c r="I761" i="2"/>
  <c r="H761" i="2" s="1"/>
  <c r="I763" i="2"/>
  <c r="H763" i="2" s="1"/>
  <c r="I764" i="2"/>
  <c r="I765" i="2"/>
  <c r="A767" i="2"/>
  <c r="I767" i="2" s="1"/>
  <c r="H765" i="2"/>
  <c r="G761" i="2"/>
  <c r="G760" i="2"/>
  <c r="I773" i="2" l="1"/>
  <c r="H767" i="2"/>
  <c r="I772" i="2"/>
  <c r="I768" i="2"/>
  <c r="H768" i="2" s="1"/>
  <c r="I771" i="2"/>
  <c r="I770" i="2"/>
  <c r="H770" i="2" s="1"/>
  <c r="A774" i="2"/>
  <c r="I774" i="2" s="1"/>
  <c r="G768" i="2"/>
  <c r="G767" i="2"/>
  <c r="H772" i="2"/>
  <c r="I780" i="2" l="1"/>
  <c r="H774" i="2"/>
  <c r="I779" i="2"/>
  <c r="I775" i="2"/>
  <c r="H775" i="2" s="1"/>
  <c r="I778" i="2"/>
  <c r="I777" i="2"/>
  <c r="H777" i="2" s="1"/>
  <c r="A781" i="2"/>
  <c r="I781" i="2" s="1"/>
  <c r="G774" i="2"/>
  <c r="H779" i="2"/>
  <c r="G775" i="2"/>
  <c r="I787" i="2" l="1"/>
  <c r="H781" i="2"/>
  <c r="I782" i="2"/>
  <c r="H782" i="2" s="1"/>
  <c r="I784" i="2"/>
  <c r="H784" i="2" s="1"/>
  <c r="I786" i="2"/>
  <c r="I785" i="2"/>
  <c r="A788" i="2"/>
  <c r="I788" i="2" s="1"/>
  <c r="G781" i="2"/>
  <c r="H786" i="2"/>
  <c r="G782" i="2"/>
  <c r="I794" i="2" l="1"/>
  <c r="H788" i="2"/>
  <c r="I793" i="2"/>
  <c r="I789" i="2"/>
  <c r="H789" i="2" s="1"/>
  <c r="I791" i="2"/>
  <c r="H791" i="2" s="1"/>
  <c r="I792" i="2"/>
  <c r="A795" i="2"/>
  <c r="I795" i="2" s="1"/>
  <c r="H793" i="2"/>
  <c r="G789" i="2"/>
  <c r="G788" i="2"/>
  <c r="I801" i="2" l="1"/>
  <c r="I799" i="2"/>
  <c r="H795" i="2"/>
  <c r="I800" i="2"/>
  <c r="I796" i="2"/>
  <c r="H796" i="2" s="1"/>
  <c r="I798" i="2"/>
  <c r="H798" i="2" s="1"/>
  <c r="A802" i="2"/>
  <c r="I802" i="2" s="1"/>
  <c r="G795" i="2"/>
  <c r="H800" i="2"/>
  <c r="G796" i="2"/>
  <c r="I808" i="2" l="1"/>
  <c r="H802" i="2"/>
  <c r="I803" i="2"/>
  <c r="H803" i="2" s="1"/>
  <c r="I805" i="2"/>
  <c r="H805" i="2" s="1"/>
  <c r="I806" i="2"/>
  <c r="I807" i="2"/>
  <c r="A809" i="2"/>
  <c r="I809" i="2" s="1"/>
  <c r="G803" i="2"/>
  <c r="G802" i="2"/>
  <c r="H807" i="2"/>
  <c r="I815" i="2" l="1"/>
  <c r="H809" i="2"/>
  <c r="I813" i="2"/>
  <c r="I814" i="2"/>
  <c r="I812" i="2"/>
  <c r="H812" i="2" s="1"/>
  <c r="I810" i="2"/>
  <c r="H810" i="2" s="1"/>
  <c r="A816" i="2"/>
  <c r="I816" i="2" s="1"/>
  <c r="G809" i="2"/>
  <c r="H814" i="2"/>
  <c r="G810" i="2"/>
  <c r="I822" i="2" l="1"/>
  <c r="I821" i="2"/>
  <c r="I820" i="2"/>
  <c r="I819" i="2"/>
  <c r="H819" i="2" s="1"/>
  <c r="H816" i="2"/>
  <c r="I817" i="2"/>
  <c r="H817" i="2" s="1"/>
  <c r="A823" i="2"/>
  <c r="I823" i="2" s="1"/>
  <c r="G816" i="2"/>
  <c r="H821" i="2"/>
  <c r="G817" i="2"/>
  <c r="I829" i="2" l="1"/>
  <c r="H823" i="2"/>
  <c r="I827" i="2"/>
  <c r="I826" i="2"/>
  <c r="H826" i="2" s="1"/>
  <c r="I824" i="2"/>
  <c r="H824" i="2" s="1"/>
  <c r="I828" i="2"/>
  <c r="A830" i="2"/>
  <c r="I830" i="2" s="1"/>
  <c r="G824" i="2"/>
  <c r="G823" i="2"/>
  <c r="H828" i="2"/>
  <c r="I836" i="2" l="1"/>
  <c r="I834" i="2"/>
  <c r="H830" i="2"/>
  <c r="I831" i="2"/>
  <c r="H831" i="2" s="1"/>
  <c r="I833" i="2"/>
  <c r="H833" i="2" s="1"/>
  <c r="I835" i="2"/>
  <c r="A837" i="2"/>
  <c r="I837" i="2" s="1"/>
  <c r="H835" i="2"/>
  <c r="G831" i="2"/>
  <c r="G830" i="2"/>
  <c r="I843" i="2" l="1"/>
  <c r="H837" i="2"/>
  <c r="I840" i="2"/>
  <c r="H840" i="2" s="1"/>
  <c r="I841" i="2"/>
  <c r="I842" i="2"/>
  <c r="I838" i="2"/>
  <c r="H838" i="2" s="1"/>
  <c r="A844" i="2"/>
  <c r="I844" i="2" s="1"/>
  <c r="G837" i="2"/>
  <c r="G838" i="2"/>
  <c r="H842" i="2"/>
  <c r="I850" i="2" l="1"/>
  <c r="H844" i="2"/>
  <c r="I847" i="2"/>
  <c r="H847" i="2" s="1"/>
  <c r="I845" i="2"/>
  <c r="H845" i="2" s="1"/>
  <c r="I848" i="2"/>
  <c r="I849" i="2"/>
  <c r="H849" i="2" s="1"/>
  <c r="A851" i="2"/>
  <c r="I851" i="2" s="1"/>
  <c r="G844" i="2"/>
  <c r="G845" i="2"/>
  <c r="I857" i="2" l="1"/>
  <c r="H851" i="2"/>
  <c r="I852" i="2"/>
  <c r="H852" i="2" s="1"/>
  <c r="I854" i="2"/>
  <c r="H854" i="2" s="1"/>
  <c r="I855" i="2"/>
  <c r="I856" i="2"/>
  <c r="A858" i="2"/>
  <c r="I858" i="2" s="1"/>
  <c r="G851" i="2"/>
  <c r="H856" i="2"/>
  <c r="G852" i="2"/>
  <c r="I864" i="2" l="1"/>
  <c r="H858" i="2"/>
  <c r="I861" i="2"/>
  <c r="H861" i="2" s="1"/>
  <c r="I862" i="2"/>
  <c r="I863" i="2"/>
  <c r="I859" i="2"/>
  <c r="H859" i="2" s="1"/>
  <c r="A865" i="2"/>
  <c r="I865" i="2" s="1"/>
  <c r="H863" i="2"/>
  <c r="G859" i="2"/>
  <c r="G858" i="2"/>
  <c r="I871" i="2" l="1"/>
  <c r="H865" i="2"/>
  <c r="I868" i="2"/>
  <c r="H868" i="2" s="1"/>
  <c r="I869" i="2"/>
  <c r="I866" i="2"/>
  <c r="H866" i="2" s="1"/>
  <c r="I870" i="2"/>
  <c r="G865" i="2"/>
  <c r="G866" i="2"/>
  <c r="A872" i="2"/>
  <c r="I872" i="2" s="1"/>
  <c r="H870" i="2"/>
  <c r="I878" i="2" l="1"/>
  <c r="H872" i="2"/>
  <c r="I876" i="2"/>
  <c r="I877" i="2"/>
  <c r="I873" i="2"/>
  <c r="H873" i="2" s="1"/>
  <c r="I875" i="2"/>
  <c r="H875" i="2" s="1"/>
  <c r="G872" i="2"/>
  <c r="G873" i="2"/>
  <c r="H877" i="2"/>
  <c r="A879" i="2"/>
  <c r="I879" i="2" s="1"/>
  <c r="I885" i="2" l="1"/>
  <c r="H879" i="2"/>
  <c r="I880" i="2"/>
  <c r="H880" i="2" s="1"/>
  <c r="I884" i="2"/>
  <c r="I883" i="2"/>
  <c r="I882" i="2"/>
  <c r="H882" i="2" s="1"/>
  <c r="A886" i="2"/>
  <c r="I886" i="2" s="1"/>
  <c r="G879" i="2"/>
  <c r="H884" i="2"/>
  <c r="G880" i="2"/>
  <c r="I892" i="2" l="1"/>
  <c r="H886" i="2"/>
  <c r="I889" i="2"/>
  <c r="H889" i="2" s="1"/>
  <c r="I890" i="2"/>
  <c r="I891" i="2"/>
  <c r="I887" i="2"/>
  <c r="H887" i="2" s="1"/>
  <c r="A893" i="2"/>
  <c r="I893" i="2" s="1"/>
  <c r="G887" i="2"/>
  <c r="G886" i="2"/>
  <c r="H891" i="2"/>
  <c r="I899" i="2" l="1"/>
  <c r="H893" i="2"/>
  <c r="I897" i="2"/>
  <c r="I898" i="2"/>
  <c r="I894" i="2"/>
  <c r="H894" i="2" s="1"/>
  <c r="I896" i="2"/>
  <c r="H896" i="2" s="1"/>
  <c r="A900" i="2"/>
  <c r="I900" i="2" s="1"/>
  <c r="G893" i="2"/>
  <c r="G894" i="2"/>
  <c r="H898" i="2"/>
  <c r="I903" i="2" l="1"/>
  <c r="H903" i="2" s="1"/>
  <c r="I906" i="2"/>
  <c r="I905" i="2"/>
  <c r="I904" i="2"/>
  <c r="H900" i="2"/>
  <c r="I901" i="2"/>
  <c r="H901" i="2" s="1"/>
  <c r="A907" i="2"/>
  <c r="I907" i="2" s="1"/>
  <c r="G901" i="2"/>
  <c r="G900" i="2"/>
  <c r="H905" i="2"/>
  <c r="I913" i="2" l="1"/>
  <c r="H907" i="2"/>
  <c r="I910" i="2"/>
  <c r="H910" i="2" s="1"/>
  <c r="I911" i="2"/>
  <c r="I912" i="2"/>
  <c r="I908" i="2"/>
  <c r="H908" i="2" s="1"/>
  <c r="A914" i="2"/>
  <c r="I914" i="2" s="1"/>
  <c r="G907" i="2"/>
  <c r="H912" i="2"/>
  <c r="G908" i="2"/>
  <c r="I917" i="2" l="1"/>
  <c r="H917" i="2" s="1"/>
  <c r="H914" i="2"/>
  <c r="I920" i="2"/>
  <c r="I919" i="2"/>
  <c r="I918" i="2"/>
  <c r="I915" i="2"/>
  <c r="H915" i="2" s="1"/>
  <c r="A921" i="2"/>
  <c r="I921" i="2" s="1"/>
  <c r="G914" i="2"/>
  <c r="H919" i="2"/>
  <c r="G915" i="2"/>
  <c r="I927" i="2" l="1"/>
  <c r="H921" i="2"/>
  <c r="I924" i="2"/>
  <c r="H924" i="2" s="1"/>
  <c r="I925" i="2"/>
  <c r="I926" i="2"/>
  <c r="I922" i="2"/>
  <c r="H922" i="2" s="1"/>
  <c r="G921" i="2"/>
  <c r="A928" i="2"/>
  <c r="I928" i="2" s="1"/>
  <c r="H926" i="2"/>
  <c r="G922" i="2"/>
  <c r="I934" i="2" l="1"/>
  <c r="H928" i="2"/>
  <c r="I929" i="2"/>
  <c r="H929" i="2" s="1"/>
  <c r="I933" i="2"/>
  <c r="I932" i="2"/>
  <c r="I931" i="2"/>
  <c r="H931" i="2" s="1"/>
  <c r="G928" i="2"/>
  <c r="H933" i="2"/>
  <c r="B1" i="7" s="1" a="1"/>
  <c r="B1" i="7" s="1"/>
  <c r="G929" i="2"/>
  <c r="A1" i="7" s="1" a="1"/>
  <c r="A1" i="7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Nieminen Mikko</author>
  </authors>
  <commentList>
    <comment ref="D424" authorId="0" shapeId="0" xr:uid="{4CEE1032-AE95-4478-A0C3-EAC86065B01E}">
      <text>
        <r>
          <rPr>
            <b/>
            <sz val="9"/>
            <color indexed="81"/>
            <rFont val="Tahoma"/>
            <family val="2"/>
          </rPr>
          <t>Nieminen Mikko:</t>
        </r>
        <r>
          <rPr>
            <sz val="9"/>
            <color indexed="81"/>
            <rFont val="Tahoma"/>
            <family val="2"/>
          </rPr>
          <t xml:space="preserve">
Connector 1
First eight channels are the same for single-ended and differential connections</t>
        </r>
      </text>
    </comment>
    <comment ref="D425" authorId="0" shapeId="0" xr:uid="{96129B12-A6AE-49A0-9EA7-8F6A5CDFBBF0}">
      <text>
        <r>
          <rPr>
            <b/>
            <sz val="9"/>
            <color indexed="81"/>
            <rFont val="Tahoma"/>
            <family val="2"/>
          </rPr>
          <t>Nieminen Mikko:</t>
        </r>
        <r>
          <rPr>
            <sz val="9"/>
            <color indexed="81"/>
            <rFont val="Tahoma"/>
            <family val="2"/>
          </rPr>
          <t xml:space="preserve">
This is not specified to I/O terminals yet</t>
        </r>
      </text>
    </comment>
    <comment ref="D456" authorId="0" shapeId="0" xr:uid="{0FA425CC-EC15-44EF-A8C2-36EC07727927}">
      <text>
        <r>
          <rPr>
            <b/>
            <sz val="9"/>
            <color indexed="81"/>
            <rFont val="Tahoma"/>
            <family val="2"/>
          </rPr>
          <t>Nieminen Mikko:</t>
        </r>
        <r>
          <rPr>
            <sz val="9"/>
            <color indexed="81"/>
            <rFont val="Tahoma"/>
            <family val="2"/>
          </rPr>
          <t xml:space="preserve">
If used as single-ended AI, then this value is 24.
If used as differential AI, then this value is 32 (because AI 24-31 are reserved for AI-)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<sst xmlns="http://schemas.openxmlformats.org/spreadsheetml/2006/main" count="704" uniqueCount="139">
  <si>
    <t>FIU</t>
  </si>
  <si>
    <t>ATE Mass Interconnect
ODU BLACK Connector/pin</t>
  </si>
  <si>
    <t>ITA Enclosure
ODU BLUE Connector/pin</t>
  </si>
  <si>
    <t>VeriStand
Channel path</t>
  </si>
  <si>
    <t>DUT
Connector/Pin</t>
  </si>
  <si>
    <t>Voltage out 0-10 V</t>
  </si>
  <si>
    <t>Ax.x</t>
  </si>
  <si>
    <t>Bx.x</t>
  </si>
  <si>
    <t>Voltage out 0-16 V /
Current out 0-20 mA</t>
  </si>
  <si>
    <t>DUT
HW Block</t>
  </si>
  <si>
    <t>DUT
I/O Range</t>
  </si>
  <si>
    <t>Output Push-Pull</t>
  </si>
  <si>
    <t>Input</t>
  </si>
  <si>
    <t>ATE
I/O Type</t>
  </si>
  <si>
    <t>DO</t>
  </si>
  <si>
    <t>Resistance 10 Ω - 8 MΩ</t>
  </si>
  <si>
    <t>Chassis
Module/Ch</t>
  </si>
  <si>
    <t>None</t>
  </si>
  <si>
    <t>RMX-4125 Output</t>
  </si>
  <si>
    <t>Master
Power</t>
  </si>
  <si>
    <t>All Power Group pins</t>
  </si>
  <si>
    <t>DO (SPDT)</t>
  </si>
  <si>
    <t>Channel
I/O Configuration and type</t>
  </si>
  <si>
    <t>VeriStand
Alias Name</t>
  </si>
  <si>
    <t>AO</t>
  </si>
  <si>
    <t>ATE Alias
Specifier</t>
  </si>
  <si>
    <t>ATE
I/O Ch</t>
  </si>
  <si>
    <t>VeriStand
Alias Path</t>
  </si>
  <si>
    <t>TBD</t>
  </si>
  <si>
    <t>Targets/Controller/Hardware/Chassis/DAQ/PXI1Slot15/Analog Output/AO</t>
  </si>
  <si>
    <t>Targets/Controller/Custom Devices/PickeringSwitching/Subunit1/Switch1_</t>
  </si>
  <si>
    <t>SPDT 40-100-001</t>
  </si>
  <si>
    <t>FPGA DO Frequency</t>
  </si>
  <si>
    <t>FPGA DO Duty-cycle</t>
  </si>
  <si>
    <t>/FREQ</t>
  </si>
  <si>
    <t>/DC</t>
  </si>
  <si>
    <t>Targets/Controller/Hardware/SLSC/SLSC Chassis/Modules/Slot 8 (SLSC-12201 DIO)/</t>
  </si>
  <si>
    <t>Module
Ch</t>
  </si>
  <si>
    <t>FPGA DO (PWM Gen.)</t>
  </si>
  <si>
    <t>SLSC-12201-1</t>
  </si>
  <si>
    <t>SLSC-12201-2</t>
  </si>
  <si>
    <t>Targets/Controller/Hardware/SLSC/SLSC Chassis/Modules/Slot 9 (SLSC-12201 DIO)/</t>
  </si>
  <si>
    <t>AO/DO
AO U: 0-10 V
DO: 0-Vsup</t>
  </si>
  <si>
    <t>AO/DO
AO U: 0-10 V
AO R: 10 Ω - 8 MΩ
DO: 0-Vsup</t>
  </si>
  <si>
    <t>Targets/Controller/Hardware/Chassis/DAQ/PXI1Slot11/Analog Output/AO</t>
  </si>
  <si>
    <t>PXIe-4322-1</t>
  </si>
  <si>
    <t>PXIe-4322-2</t>
  </si>
  <si>
    <t>PXIe-4322-3</t>
  </si>
  <si>
    <t>PXIe-4322-4</t>
  </si>
  <si>
    <t>Targets/Controller/Hardware/Chassis/DAQ/PXI1Slot12/Analog Output/AO</t>
  </si>
  <si>
    <t>Targets/Controller/Hardware/Chassis/DAQ/PXI1Slot13/Analog Output/AO</t>
  </si>
  <si>
    <t>Targets/Controller/Hardware/Chassis/DAQ/PXI1Slot14/Analog Output/AO</t>
  </si>
  <si>
    <t>PXIe-6738</t>
  </si>
  <si>
    <t>DO
DO: 0-Vsup</t>
  </si>
  <si>
    <t>A1.1</t>
  </si>
  <si>
    <t>DI</t>
  </si>
  <si>
    <t>FPGA DI Status</t>
  </si>
  <si>
    <t>PXIe-7820R DI</t>
  </si>
  <si>
    <t>SLSC-12202-1</t>
  </si>
  <si>
    <t>SLSC-12202-2</t>
  </si>
  <si>
    <t>SLSC-12251-1</t>
  </si>
  <si>
    <t>SLSC-12251-2</t>
  </si>
  <si>
    <t>SLSC-12251-3</t>
  </si>
  <si>
    <t>SLSC-12251-4</t>
  </si>
  <si>
    <t>PXIe-6375</t>
  </si>
  <si>
    <t>Targets/Controller/Hardware/Chassis/DAQ/PXI1Slot3/Analog Input/AI</t>
  </si>
  <si>
    <t>Targets/Controller/Calculated Channels/ATE/</t>
  </si>
  <si>
    <t>Scaled voltage 0-60 V</t>
  </si>
  <si>
    <t>Scaled voltage</t>
  </si>
  <si>
    <t>Scaled IO values</t>
  </si>
  <si>
    <t>/AI</t>
  </si>
  <si>
    <t>FPGA DI (PWM Meas.)</t>
  </si>
  <si>
    <t>FPGA DI Frequency</t>
  </si>
  <si>
    <t>FPGA DI Duty-cycle</t>
  </si>
  <si>
    <t>Scaled current 0-8 A</t>
  </si>
  <si>
    <t>Scaled current</t>
  </si>
  <si>
    <t>Korttityyppiä ei vielä ole --&gt; Ei tietoa tarkasta polusta</t>
  </si>
  <si>
    <t>TODO</t>
  </si>
  <si>
    <t>Ei lukkoon lyöty tapa lisätä "Calculated Channels" -kanavia</t>
  </si>
  <si>
    <t>Targets/Controller/Hardware/SLSC/SLSC Chassis/Modules/Slot 1 (SLSC EDS :: SLSC-12251)/Physical Channels/Channel_</t>
  </si>
  <si>
    <t>LOW LOAD
DI: 0-60 V
AI: 0-60 V
EXT LOAD</t>
  </si>
  <si>
    <t>HIGH LOAD
DI: 0-60 V
AI: 0-60 V
EXT LOAD</t>
  </si>
  <si>
    <t>Targets/Controller/Hardware/SLSC/SLSC Chassis/Modules/Slot 2 (SLSC EDS :: SLSC-12251)/Physical Channels/Channel_</t>
  </si>
  <si>
    <t>Targets/Controller/Hardware/SLSC/SLSC Chassis/Modules/Slot 3 (SLSC EDS :: SLSC-12251)/Physical Channels/Channel_</t>
  </si>
  <si>
    <t>Targets/Controller/Hardware/SLSC/SLSC Chassis/Modules/Slot 4 (SLSC EDS :: SLSC-12251)/Physical Channels/Channel_</t>
  </si>
  <si>
    <t>Select Vsup</t>
  </si>
  <si>
    <t>1 (Vsup_0)</t>
  </si>
  <si>
    <t>Enable_RMX</t>
  </si>
  <si>
    <t>Set_Voltage</t>
  </si>
  <si>
    <t>Set_Current</t>
  </si>
  <si>
    <t>Get_Voltage</t>
  </si>
  <si>
    <t>Get_Current</t>
  </si>
  <si>
    <t>Power</t>
  </si>
  <si>
    <t>RMX Controls</t>
  </si>
  <si>
    <t>RMX Indicators</t>
  </si>
  <si>
    <t>Targets/Controller/Custom Devices/RMXVisaControl/Controls/</t>
  </si>
  <si>
    <t>Targets/Controller/Custom Devices/RMXVisaControl/Indicators/</t>
  </si>
  <si>
    <t>Enable RMX</t>
  </si>
  <si>
    <t>Voltage_In</t>
  </si>
  <si>
    <t>Current_In</t>
  </si>
  <si>
    <t>Voltage_Out</t>
  </si>
  <si>
    <t>Current_Out</t>
  </si>
  <si>
    <t>PXI-2567</t>
  </si>
  <si>
    <t>Voltage 0-80 V</t>
  </si>
  <si>
    <t>Current 0-56 A</t>
  </si>
  <si>
    <t>0 (Off)</t>
  </si>
  <si>
    <t>Targets/Controller/Hardware/Chassis/DAQ/PXI1Slot5/Digital Output/</t>
  </si>
  <si>
    <t>Power Group</t>
  </si>
  <si>
    <t>DO (Relay driver)
Load max. 2x 10 A</t>
  </si>
  <si>
    <t>DO NOT EDIT !</t>
  </si>
  <si>
    <t>/STATE</t>
  </si>
  <si>
    <t>These are used for creating VeriStand channel paths in EpecBaseProject-sheet</t>
  </si>
  <si>
    <t>These are updated from EpecBaseProject-sheet</t>
  </si>
  <si>
    <t>AO
AO U: 0-16 V
AO I: 0-20 mA
AO R: 10 Ω - 8 MΩ</t>
  </si>
  <si>
    <t>PWM_FR</t>
  </si>
  <si>
    <t>PWM_DC</t>
  </si>
  <si>
    <t>Select_DO</t>
  </si>
  <si>
    <t>Select_DO_or_AOR</t>
  </si>
  <si>
    <t>Select_AOR</t>
  </si>
  <si>
    <t>Targets/Controller/Custom Devices/FPGA Addon/Scalars/Scalar Outputs/PWM.Out.</t>
  </si>
  <si>
    <t>Targets/Controller/Custom Devices/FPGA Addon/Scalars/Scalar Inputs/DI.</t>
  </si>
  <si>
    <t>PXIe-7820R PWM Out</t>
  </si>
  <si>
    <t>PXIe-7820R PWM In</t>
  </si>
  <si>
    <t>Targets/Controller/Custom Devices/FPGA Addon/Scalars/Scalar Inputs/PWM.In.</t>
  </si>
  <si>
    <t>PXIe-7820R PWM Set</t>
  </si>
  <si>
    <t>Targets/Controller/Custom Devices/FPGA Addon/Scalars/Scalar Outputs/PWM.Set.</t>
  </si>
  <si>
    <t>FPGA DI Timeout</t>
  </si>
  <si>
    <t>/TIMEOUT</t>
  </si>
  <si>
    <t>SLSC Configuration Update</t>
  </si>
  <si>
    <t>Targets/Controller/Hardware/SLSC/SLSC Chassis/Modules/Slot 6 (SLSC EDS)/Commands/NI.UpdateChannelConfiguration</t>
  </si>
  <si>
    <t>Commands</t>
  </si>
  <si>
    <t>NI.UpdateChannelConfiguration</t>
  </si>
  <si>
    <t>SLSC</t>
  </si>
  <si>
    <t>PFGA DI (DI State)</t>
  </si>
  <si>
    <t>FPGA DI (DI State)</t>
  </si>
  <si>
    <t>PWM_TIMEOUT</t>
  </si>
  <si>
    <t>Targets/Controller/Hardware/SLSC/SLSC Chassis/Modules/Slot 6 (SLSC EDS)/Physical Channels/port0//line0/Properties/NI.Line.Direction</t>
  </si>
  <si>
    <t>Targets/Controller/Hardware/SLSC/SLSC Chassis/Modules/Slot 6 (SLSC EDS)/Physical Channels/</t>
  </si>
  <si>
    <t>Targets/Controller/Hardware/SLSC/SLSC Chassis/Modules/Slot 7 (SLSC EDS)/Physical Channels/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</si>
</sst>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63">
    <xf numFmtId="0" fontId="0" fillId="0" borderId="0" xfId="0"/>
    <xf numFmtId="0" fontId="0" fillId="0" borderId="0" xfId="0" applyAlignment="1">
      <alignment horizontal="center" vertical="center"/>
    </xf>
    <xf numFmtId="0" fontId="1" fillId="0" borderId="16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1" fillId="0" borderId="24" xfId="0" applyFont="1" applyBorder="1" applyAlignment="1">
      <alignment horizontal="center" vertical="center" wrapText="1"/>
    </xf>
    <xf numFmtId="0" fontId="1" fillId="0" borderId="25" xfId="0" applyFont="1" applyBorder="1" applyAlignment="1">
      <alignment horizontal="center" vertical="center" wrapText="1"/>
    </xf>
    <xf numFmtId="0" fontId="1" fillId="0" borderId="26" xfId="0" applyFont="1" applyBorder="1" applyAlignment="1">
      <alignment horizontal="center" vertical="center" wrapText="1"/>
    </xf>
    <xf numFmtId="0" fontId="1" fillId="0" borderId="27" xfId="0" applyFont="1" applyBorder="1" applyAlignment="1">
      <alignment horizontal="center" vertical="center" wrapText="1"/>
    </xf>
    <xf numFmtId="0" fontId="0" fillId="0" borderId="22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" fillId="0" borderId="0" xfId="0" applyFont="1" applyAlignment="1">
      <alignment horizontal="left" vertical="top"/>
    </xf>
    <xf numFmtId="0" fontId="0" fillId="0" borderId="35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1" fillId="0" borderId="34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40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1" fillId="0" borderId="0" xfId="0" applyFont="1"/>
    <xf numFmtId="0" fontId="2" fillId="0" borderId="4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3" fillId="0" borderId="31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33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4" fillId="0" borderId="0" xfId="0" applyFont="1"/>
    <xf numFmtId="0" fontId="2" fillId="0" borderId="40" xfId="0" applyFont="1" applyBorder="1" applyAlignment="1">
      <alignment horizontal="center" vertical="center"/>
    </xf>
    <xf numFmtId="0" fontId="2" fillId="0" borderId="42" xfId="0" applyFont="1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9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1" fillId="0" borderId="40" xfId="0" applyFont="1" applyBorder="1" applyAlignment="1">
      <alignment horizontal="center" vertical="center"/>
    </xf>
    <xf numFmtId="0" fontId="2" fillId="0" borderId="46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2" borderId="19" xfId="0" applyFont="1" applyFill="1" applyBorder="1" applyAlignment="1">
      <alignment horizontal="center" vertical="center"/>
    </xf>
    <xf numFmtId="0" fontId="1" fillId="2" borderId="22" xfId="0" applyFont="1" applyFill="1" applyBorder="1" applyAlignment="1">
      <alignment horizontal="center" vertical="center"/>
    </xf>
    <xf numFmtId="0" fontId="0" fillId="2" borderId="0" xfId="0" applyFill="1"/>
    <xf numFmtId="0" fontId="2" fillId="0" borderId="37" xfId="0" applyFont="1" applyBorder="1" applyAlignment="1">
      <alignment horizontal="center" vertical="center"/>
    </xf>
    <xf numFmtId="0" fontId="2" fillId="0" borderId="38" xfId="0" applyFont="1" applyBorder="1" applyAlignment="1">
      <alignment horizontal="center" vertical="center"/>
    </xf>
    <xf numFmtId="0" fontId="2" fillId="0" borderId="39" xfId="0" applyFont="1" applyBorder="1" applyAlignment="1">
      <alignment horizontal="center" vertical="center"/>
    </xf>
    <xf numFmtId="0" fontId="2" fillId="0" borderId="34" xfId="0" applyFont="1" applyBorder="1" applyAlignment="1">
      <alignment horizontal="center" vertical="center" wrapText="1"/>
    </xf>
    <xf numFmtId="0" fontId="2" fillId="0" borderId="48" xfId="0" applyFont="1" applyBorder="1" applyAlignment="1">
      <alignment horizontal="center" vertical="center"/>
    </xf>
    <xf numFmtId="0" fontId="2" fillId="0" borderId="49" xfId="0" applyFont="1" applyBorder="1" applyAlignment="1">
      <alignment horizontal="center" vertical="center"/>
    </xf>
    <xf numFmtId="0" fontId="2" fillId="0" borderId="50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/>
    </xf>
    <xf numFmtId="0" fontId="2" fillId="0" borderId="34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 wrapText="1"/>
    </xf>
    <xf numFmtId="0" fontId="2" fillId="0" borderId="23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 wrapText="1"/>
    </xf>
    <xf numFmtId="0" fontId="2" fillId="0" borderId="52" xfId="0" applyFont="1" applyBorder="1" applyAlignment="1">
      <alignment horizontal="center" vertical="center" wrapText="1"/>
    </xf>
    <xf numFmtId="0" fontId="2" fillId="0" borderId="52" xfId="0" applyFont="1" applyBorder="1" applyAlignment="1">
      <alignment horizontal="center" vertical="center"/>
    </xf>
    <xf numFmtId="0" fontId="2" fillId="0" borderId="32" xfId="0" applyFont="1" applyBorder="1" applyAlignment="1">
      <alignment horizontal="center" vertical="center"/>
    </xf>
    <xf numFmtId="0" fontId="0" fillId="0" borderId="53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34" xfId="0" applyBorder="1" applyAlignment="1">
      <alignment horizontal="center" vertical="center" wrapText="1"/>
    </xf>
    <xf numFmtId="0" fontId="2" fillId="0" borderId="30" xfId="0" applyFont="1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0" fillId="0" borderId="31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2" fillId="0" borderId="25" xfId="0" applyFont="1" applyBorder="1" applyAlignment="1">
      <alignment horizontal="center" vertical="center" wrapText="1"/>
    </xf>
    <xf numFmtId="0" fontId="2" fillId="0" borderId="41" xfId="0" applyFont="1" applyBorder="1" applyAlignment="1">
      <alignment horizontal="center" vertical="center" wrapText="1"/>
    </xf>
    <xf numFmtId="0" fontId="2" fillId="0" borderId="26" xfId="0" applyFont="1" applyBorder="1" applyAlignment="1">
      <alignment horizontal="center" vertical="center" wrapText="1"/>
    </xf>
    <xf numFmtId="0" fontId="2" fillId="0" borderId="44" xfId="0" applyFont="1" applyBorder="1" applyAlignment="1">
      <alignment horizontal="center" vertical="center" wrapText="1"/>
    </xf>
    <xf numFmtId="0" fontId="2" fillId="0" borderId="25" xfId="0" applyFont="1" applyBorder="1" applyAlignment="1">
      <alignment horizontal="center" vertical="center"/>
    </xf>
    <xf numFmtId="0" fontId="2" fillId="0" borderId="41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0" borderId="41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 wrapText="1"/>
    </xf>
    <xf numFmtId="0" fontId="1" fillId="0" borderId="41" xfId="0" applyFont="1" applyBorder="1" applyAlignment="1">
      <alignment horizontal="center" vertical="center" wrapText="1"/>
    </xf>
    <xf numFmtId="0" fontId="2" fillId="0" borderId="24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0" fontId="0" fillId="0" borderId="25" xfId="0" applyBorder="1" applyAlignment="1">
      <alignment horizontal="center" vertical="center" wrapText="1"/>
    </xf>
    <xf numFmtId="0" fontId="0" fillId="0" borderId="41" xfId="0" applyBorder="1" applyAlignment="1">
      <alignment horizontal="center" vertical="center" wrapText="1"/>
    </xf>
    <xf numFmtId="0" fontId="1" fillId="0" borderId="31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0" fillId="0" borderId="31" xfId="0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0" fontId="2" fillId="0" borderId="46" xfId="0" applyFont="1" applyBorder="1" applyAlignment="1">
      <alignment horizontal="center" vertical="center"/>
    </xf>
    <xf numFmtId="0" fontId="2" fillId="0" borderId="47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 wrapText="1"/>
    </xf>
    <xf numFmtId="0" fontId="0" fillId="0" borderId="17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 wrapText="1"/>
    </xf>
    <xf numFmtId="0" fontId="0" fillId="0" borderId="28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2" fillId="0" borderId="40" xfId="0" applyFont="1" applyBorder="1" applyAlignment="1">
      <alignment horizontal="center" vertical="center"/>
    </xf>
    <xf numFmtId="0" fontId="1" fillId="0" borderId="40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5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3C89EF-D1AD-416E-9C67-926B15C8D65F}">
  <dimension ref="A1:N960"/>
  <sheetViews>
    <sheetView tabSelected="1" topLeftCell="A16" workbookViewId="0"/>
  </sheetViews>
  <sheetFormatPr defaultRowHeight="14.25" x14ac:dyDescent="0.45"/>
  <cols>
    <col min="1" max="1" width="8.3984375" style="48" bestFit="1" customWidth="1"/>
    <col min="2" max="2" width="24.86328125" bestFit="1" customWidth="1"/>
    <col min="3" max="3" width="23.265625" bestFit="1" customWidth="1"/>
    <col min="4" max="4" width="30.1328125" bestFit="1" customWidth="1"/>
    <col min="5" max="5" width="25" bestFit="1" customWidth="1"/>
    <col min="6" max="6" width="18.265625" bestFit="1" customWidth="1"/>
    <col min="7" max="7" width="33.265625" bestFit="1" customWidth="1"/>
    <col min="8" max="8" width="109.73046875" bestFit="1" customWidth="1"/>
    <col min="9" max="9" width="9" style="25" bestFit="1" customWidth="1"/>
    <col min="10" max="10" width="24.86328125" bestFit="1" customWidth="1"/>
    <col min="11" max="11" width="23.73046875" bestFit="1" customWidth="1"/>
    <col min="12" max="12" width="19.86328125" customWidth="1"/>
    <col min="13" max="13" width="19.59765625" customWidth="1"/>
    <col min="14" max="14" width="31.86328125" customWidth="1"/>
  </cols>
  <sheetData>
    <row r="1" spans="1:14" ht="45" customHeight="1" thickBot="1" x14ac:dyDescent="0.5">
      <c r="A1" s="24" t="s">
        <v>26</v>
      </c>
      <c r="B1" s="24" t="s">
        <v>13</v>
      </c>
      <c r="C1" s="24" t="s">
        <v>16</v>
      </c>
      <c r="D1" s="24" t="s">
        <v>37</v>
      </c>
      <c r="E1" s="24" t="s">
        <v>22</v>
      </c>
      <c r="F1" s="24" t="s">
        <v>23</v>
      </c>
      <c r="G1" s="24" t="s">
        <v>27</v>
      </c>
      <c r="H1" s="24" t="s">
        <v>3</v>
      </c>
      <c r="I1" s="24" t="s">
        <v>25</v>
      </c>
      <c r="J1" s="14" t="s">
        <v>1</v>
      </c>
      <c r="K1" s="2" t="s">
        <v>2</v>
      </c>
      <c r="L1" s="11" t="s">
        <v>4</v>
      </c>
      <c r="M1" s="12" t="s">
        <v>9</v>
      </c>
      <c r="N1" s="13" t="s">
        <v>10</v>
      </c>
    </row>
    <row r="2" spans="1:14" x14ac:dyDescent="0.45">
      <c r="A2" s="115">
        <v>1</v>
      </c>
      <c r="B2" s="123" t="s">
        <v>42</v>
      </c>
      <c r="C2" s="29" t="str">
        <f>"PXIe-6738/AO" &amp; D2</f>
        <v>PXIe-6738/AO0</v>
      </c>
      <c r="D2" s="44">
        <v>0</v>
      </c>
      <c r="E2" s="44" t="s">
        <v>5</v>
      </c>
      <c r="F2" s="44" t="s">
        <v>24</v>
      </c>
      <c r="G2" s="29" t="str">
        <f t="shared" ref="G2:G31" si="0">IF(OR(F2="None",F2="TBD"),"None",_xlfn.CONCAT("ATE/",I2,"/",F2))</f>
        <v>ATE/IO1/AO</v>
      </c>
      <c r="H2" s="35" t="str">
        <f>Paths!$B$26 &amp; D2</f>
        <v>Targets/Controller/Hardware/Chassis/DAQ/PXI1Slot15/Analog Output/AO0</v>
      </c>
      <c r="I2" s="32" t="str">
        <f>"IO" &amp; A2</f>
        <v>IO1</v>
      </c>
      <c r="J2" s="141" t="s">
        <v>54</v>
      </c>
      <c r="K2" s="144" t="s">
        <v>7</v>
      </c>
      <c r="L2" s="128"/>
      <c r="M2" s="131"/>
      <c r="N2" s="134"/>
    </row>
    <row r="3" spans="1:14" ht="15" customHeight="1" x14ac:dyDescent="0.45">
      <c r="A3" s="160"/>
      <c r="B3" s="153"/>
      <c r="C3" s="30" t="str">
        <f>"PXIe-7820R/DIO" &amp; D3</f>
        <v>PXIe-7820R/DIO0</v>
      </c>
      <c r="D3" s="45">
        <v>0</v>
      </c>
      <c r="E3" s="45" t="s">
        <v>38</v>
      </c>
      <c r="F3" s="47" t="s">
        <v>114</v>
      </c>
      <c r="G3" s="30" t="str">
        <f t="shared" si="0"/>
        <v>ATE/IO1/PWM_FR</v>
      </c>
      <c r="H3" s="36" t="str">
        <f>Paths!$B$2 &amp; I3 &amp; Paths!$B$6</f>
        <v>Targets/Controller/Custom Devices/FPGA Addon/Scalars/Scalar Outputs/PWM.Out.IO1/FREQ</v>
      </c>
      <c r="I3" s="33" t="str">
        <f>"IO" &amp; A2</f>
        <v>IO1</v>
      </c>
      <c r="J3" s="142"/>
      <c r="K3" s="145"/>
      <c r="L3" s="129"/>
      <c r="M3" s="132"/>
      <c r="N3" s="135"/>
    </row>
    <row r="4" spans="1:14" x14ac:dyDescent="0.45">
      <c r="A4" s="160"/>
      <c r="B4" s="153"/>
      <c r="C4" s="30" t="str">
        <f>"PXIe-7820R/DIO" &amp; D4</f>
        <v>PXIe-7820R/DIO0</v>
      </c>
      <c r="D4" s="45">
        <v>0</v>
      </c>
      <c r="E4" s="45" t="s">
        <v>38</v>
      </c>
      <c r="F4" s="45" t="s">
        <v>115</v>
      </c>
      <c r="G4" s="30" t="str">
        <f t="shared" si="0"/>
        <v>ATE/IO1/PWM_DC</v>
      </c>
      <c r="H4" s="36" t="str">
        <f>Paths!$B$2 &amp; I4 &amp; Paths!$B$7</f>
        <v>Targets/Controller/Custom Devices/FPGA Addon/Scalars/Scalar Outputs/PWM.Out.IO1/DC</v>
      </c>
      <c r="I4" s="33" t="str">
        <f>"IO" &amp; A2</f>
        <v>IO1</v>
      </c>
      <c r="J4" s="142"/>
      <c r="K4" s="145"/>
      <c r="L4" s="129"/>
      <c r="M4" s="132"/>
      <c r="N4" s="135"/>
    </row>
    <row r="5" spans="1:14" x14ac:dyDescent="0.45">
      <c r="A5" s="160"/>
      <c r="B5" s="153"/>
      <c r="C5" s="30" t="str">
        <f>"SLSC-12201-1/P" &amp; ROUNDDOWN(D5/8,0) &amp; "." &amp; MOD(D5,8)</f>
        <v>SLSC-12201-1/P0.0</v>
      </c>
      <c r="D5" s="45">
        <v>0</v>
      </c>
      <c r="E5" s="45" t="s">
        <v>11</v>
      </c>
      <c r="F5" s="45" t="s">
        <v>17</v>
      </c>
      <c r="G5" s="30" t="str">
        <f t="shared" si="0"/>
        <v>None</v>
      </c>
      <c r="H5" s="36" t="str">
        <f>Paths!$B$19 &amp; "Bank " &amp; ROUNDDOWN(D5/16,0) &amp; "/Port " &amp; ROUNDDOWN(D5/8,0) &amp; "/Line " &amp;MOD(D5,8) &amp;"/Direction"</f>
        <v>Targets/Controller/Hardware/SLSC/SLSC Chassis/Modules/Slot 8 (SLSC-12201 DIO)/Bank 0/Port 0/Line 0/Direction</v>
      </c>
      <c r="I5" s="33" t="str">
        <f>"IO" &amp; A2</f>
        <v>IO1</v>
      </c>
      <c r="J5" s="142"/>
      <c r="K5" s="145"/>
      <c r="L5" s="129"/>
      <c r="M5" s="132"/>
      <c r="N5" s="135"/>
    </row>
    <row r="6" spans="1:14" x14ac:dyDescent="0.45">
      <c r="A6" s="160"/>
      <c r="B6" s="153"/>
      <c r="C6" s="30" t="str">
        <f>"PXI 10-100-001/SPDT" &amp; D6</f>
        <v>PXI 10-100-001/SPDT1</v>
      </c>
      <c r="D6" s="45">
        <v>1</v>
      </c>
      <c r="E6" s="45" t="s">
        <v>21</v>
      </c>
      <c r="F6" s="45" t="s">
        <v>116</v>
      </c>
      <c r="G6" s="30" t="str">
        <f t="shared" si="0"/>
        <v>ATE/IO1/Select_DO</v>
      </c>
      <c r="H6" s="37" t="str">
        <f>Paths!$B$12 &amp; D6</f>
        <v>Targets/Controller/Custom Devices/PickeringSwitching/Subunit1/Switch1_1</v>
      </c>
      <c r="I6" s="33" t="str">
        <f>"IO" &amp; A2</f>
        <v>IO1</v>
      </c>
      <c r="J6" s="142"/>
      <c r="K6" s="145"/>
      <c r="L6" s="129"/>
      <c r="M6" s="132"/>
      <c r="N6" s="135"/>
    </row>
    <row r="7" spans="1:14" ht="14.65" thickBot="1" x14ac:dyDescent="0.5">
      <c r="A7" s="116"/>
      <c r="B7" s="154"/>
      <c r="C7" s="31" t="str">
        <f>"PXI-2510-1/dut" &amp; D7</f>
        <v>PXI-2510-1/dut0</v>
      </c>
      <c r="D7" s="46">
        <v>0</v>
      </c>
      <c r="E7" s="46" t="s">
        <v>0</v>
      </c>
      <c r="F7" s="46" t="s">
        <v>28</v>
      </c>
      <c r="G7" s="31" t="str">
        <f t="shared" si="0"/>
        <v>None</v>
      </c>
      <c r="H7" s="38" t="s">
        <v>28</v>
      </c>
      <c r="I7" s="34" t="str">
        <f>"IO" &amp; A2</f>
        <v>IO1</v>
      </c>
      <c r="J7" s="143"/>
      <c r="K7" s="146"/>
      <c r="L7" s="130"/>
      <c r="M7" s="133"/>
      <c r="N7" s="136"/>
    </row>
    <row r="8" spans="1:14" ht="15" customHeight="1" x14ac:dyDescent="0.45">
      <c r="A8" s="113">
        <f>A2+1</f>
        <v>2</v>
      </c>
      <c r="B8" s="100" t="str">
        <f>B2</f>
        <v>AO/DO
AO U: 0-10 V
DO: 0-Vsup</v>
      </c>
      <c r="C8" s="29" t="str">
        <f>"PXIe-6738/AO" &amp; D8</f>
        <v>PXIe-6738/AO1</v>
      </c>
      <c r="D8" s="29">
        <f t="shared" ref="D8:D39" si="1">D2+1</f>
        <v>1</v>
      </c>
      <c r="E8" s="29" t="str">
        <f t="shared" ref="E8:F27" si="2">E2</f>
        <v>Voltage out 0-10 V</v>
      </c>
      <c r="F8" s="29" t="str">
        <f t="shared" si="2"/>
        <v>AO</v>
      </c>
      <c r="G8" s="29" t="str">
        <f t="shared" si="0"/>
        <v>ATE/IO2/AO</v>
      </c>
      <c r="H8" s="39" t="str">
        <f>Paths!$B$26 &amp; D8</f>
        <v>Targets/Controller/Hardware/Chassis/DAQ/PXI1Slot15/Analog Output/AO1</v>
      </c>
      <c r="I8" s="32" t="str">
        <f>"IO" &amp; A8</f>
        <v>IO2</v>
      </c>
      <c r="J8" s="103" t="s">
        <v>6</v>
      </c>
      <c r="K8" s="144" t="s">
        <v>7</v>
      </c>
      <c r="L8" s="128"/>
      <c r="M8" s="131"/>
      <c r="N8" s="134"/>
    </row>
    <row r="9" spans="1:14" ht="15" customHeight="1" x14ac:dyDescent="0.45">
      <c r="A9" s="159"/>
      <c r="B9" s="126"/>
      <c r="C9" s="30" t="str">
        <f>"PXIe-7820R/DIO" &amp; D9</f>
        <v>PXIe-7820R/DIO1</v>
      </c>
      <c r="D9" s="30">
        <f t="shared" si="1"/>
        <v>1</v>
      </c>
      <c r="E9" s="30" t="str">
        <f t="shared" si="2"/>
        <v>FPGA DO (PWM Gen.)</v>
      </c>
      <c r="F9" s="30" t="str">
        <f t="shared" si="2"/>
        <v>PWM_FR</v>
      </c>
      <c r="G9" s="30" t="str">
        <f t="shared" si="0"/>
        <v>ATE/IO2/PWM_FR</v>
      </c>
      <c r="H9" s="36" t="str">
        <f>Paths!$B$2 &amp; I9 &amp; Paths!$B$6</f>
        <v>Targets/Controller/Custom Devices/FPGA Addon/Scalars/Scalar Outputs/PWM.Out.IO2/FREQ</v>
      </c>
      <c r="I9" s="33" t="str">
        <f>"IO" &amp; A8</f>
        <v>IO2</v>
      </c>
      <c r="J9" s="104"/>
      <c r="K9" s="145"/>
      <c r="L9" s="129"/>
      <c r="M9" s="132"/>
      <c r="N9" s="135"/>
    </row>
    <row r="10" spans="1:14" x14ac:dyDescent="0.45">
      <c r="A10" s="159"/>
      <c r="B10" s="126"/>
      <c r="C10" s="30" t="str">
        <f>"PXIe-7820R/DIO" &amp; D10</f>
        <v>PXIe-7820R/DIO1</v>
      </c>
      <c r="D10" s="30">
        <f t="shared" si="1"/>
        <v>1</v>
      </c>
      <c r="E10" s="30" t="str">
        <f t="shared" si="2"/>
        <v>FPGA DO (PWM Gen.)</v>
      </c>
      <c r="F10" s="30" t="str">
        <f t="shared" si="2"/>
        <v>PWM_DC</v>
      </c>
      <c r="G10" s="30" t="str">
        <f t="shared" si="0"/>
        <v>ATE/IO2/PWM_DC</v>
      </c>
      <c r="H10" s="36" t="str">
        <f>Paths!$B$2 &amp; I10 &amp; Paths!$B$7</f>
        <v>Targets/Controller/Custom Devices/FPGA Addon/Scalars/Scalar Outputs/PWM.Out.IO2/DC</v>
      </c>
      <c r="I10" s="33" t="str">
        <f>"IO" &amp; A8</f>
        <v>IO2</v>
      </c>
      <c r="J10" s="104"/>
      <c r="K10" s="145"/>
      <c r="L10" s="129"/>
      <c r="M10" s="132"/>
      <c r="N10" s="135"/>
    </row>
    <row r="11" spans="1:14" x14ac:dyDescent="0.45">
      <c r="A11" s="159"/>
      <c r="B11" s="126"/>
      <c r="C11" s="30" t="str">
        <f>"SLSC-12201-1/P" &amp; ROUNDDOWN(D11/8,0) &amp; "." &amp; MOD(D11,8)</f>
        <v>SLSC-12201-1/P0.1</v>
      </c>
      <c r="D11" s="30">
        <f t="shared" si="1"/>
        <v>1</v>
      </c>
      <c r="E11" s="30" t="str">
        <f t="shared" si="2"/>
        <v>Output Push-Pull</v>
      </c>
      <c r="F11" s="30" t="str">
        <f t="shared" si="2"/>
        <v>None</v>
      </c>
      <c r="G11" s="30" t="str">
        <f t="shared" si="0"/>
        <v>None</v>
      </c>
      <c r="H11" s="36" t="str">
        <f>Paths!$B$19 &amp; "Bank " &amp; ROUNDDOWN(D11/16,0) &amp; "/Port " &amp; ROUNDDOWN(D11/8,0) &amp; "/Line " &amp;MOD(D11,8) &amp;"/Direction"</f>
        <v>Targets/Controller/Hardware/SLSC/SLSC Chassis/Modules/Slot 8 (SLSC-12201 DIO)/Bank 0/Port 0/Line 1/Direction</v>
      </c>
      <c r="I11" s="33" t="str">
        <f>"IO" &amp; A8</f>
        <v>IO2</v>
      </c>
      <c r="J11" s="104"/>
      <c r="K11" s="145"/>
      <c r="L11" s="129"/>
      <c r="M11" s="132"/>
      <c r="N11" s="135"/>
    </row>
    <row r="12" spans="1:14" x14ac:dyDescent="0.45">
      <c r="A12" s="159"/>
      <c r="B12" s="126"/>
      <c r="C12" s="30" t="str">
        <f>"PXI 10-100-001/SPDT" &amp; D12</f>
        <v>PXI 10-100-001/SPDT2</v>
      </c>
      <c r="D12" s="30">
        <f t="shared" si="1"/>
        <v>2</v>
      </c>
      <c r="E12" s="30" t="str">
        <f t="shared" si="2"/>
        <v>DO (SPDT)</v>
      </c>
      <c r="F12" s="30" t="str">
        <f t="shared" si="2"/>
        <v>Select_DO</v>
      </c>
      <c r="G12" s="30" t="str">
        <f t="shared" si="0"/>
        <v>ATE/IO2/Select_DO</v>
      </c>
      <c r="H12" s="41" t="str">
        <f>Paths!$B$12 &amp; D12</f>
        <v>Targets/Controller/Custom Devices/PickeringSwitching/Subunit1/Switch1_2</v>
      </c>
      <c r="I12" s="33" t="str">
        <f>"IO" &amp; A8</f>
        <v>IO2</v>
      </c>
      <c r="J12" s="104"/>
      <c r="K12" s="145"/>
      <c r="L12" s="129"/>
      <c r="M12" s="132"/>
      <c r="N12" s="135"/>
    </row>
    <row r="13" spans="1:14" ht="14.65" thickBot="1" x14ac:dyDescent="0.5">
      <c r="A13" s="114"/>
      <c r="B13" s="127"/>
      <c r="C13" s="31" t="str">
        <f>"PXI-2510-1/dut" &amp; D13</f>
        <v>PXI-2510-1/dut1</v>
      </c>
      <c r="D13" s="31">
        <f t="shared" si="1"/>
        <v>1</v>
      </c>
      <c r="E13" s="31" t="str">
        <f t="shared" si="2"/>
        <v>FIU</v>
      </c>
      <c r="F13" s="31" t="str">
        <f t="shared" si="2"/>
        <v>TBD</v>
      </c>
      <c r="G13" s="31" t="str">
        <f t="shared" si="0"/>
        <v>None</v>
      </c>
      <c r="H13" s="42" t="s">
        <v>28</v>
      </c>
      <c r="I13" s="34" t="str">
        <f>"IO" &amp; A8</f>
        <v>IO2</v>
      </c>
      <c r="J13" s="105"/>
      <c r="K13" s="146"/>
      <c r="L13" s="130"/>
      <c r="M13" s="133"/>
      <c r="N13" s="136"/>
    </row>
    <row r="14" spans="1:14" ht="15" customHeight="1" x14ac:dyDescent="0.45">
      <c r="A14" s="113">
        <f t="shared" ref="A14" si="3">A8+1</f>
        <v>3</v>
      </c>
      <c r="B14" s="100" t="str">
        <f t="shared" ref="B14" si="4">B8</f>
        <v>AO/DO
AO U: 0-10 V
DO: 0-Vsup</v>
      </c>
      <c r="C14" s="29" t="str">
        <f>"PXIe-6738/AO" &amp; D14</f>
        <v>PXIe-6738/AO2</v>
      </c>
      <c r="D14" s="29">
        <f t="shared" si="1"/>
        <v>2</v>
      </c>
      <c r="E14" s="29" t="str">
        <f t="shared" si="2"/>
        <v>Voltage out 0-10 V</v>
      </c>
      <c r="F14" s="29" t="str">
        <f t="shared" si="2"/>
        <v>AO</v>
      </c>
      <c r="G14" s="29" t="str">
        <f t="shared" si="0"/>
        <v>ATE/IO3/AO</v>
      </c>
      <c r="H14" s="39" t="str">
        <f>Paths!$B$26 &amp; D14</f>
        <v>Targets/Controller/Hardware/Chassis/DAQ/PXI1Slot15/Analog Output/AO2</v>
      </c>
      <c r="I14" s="32" t="str">
        <f>"IO" &amp; A14</f>
        <v>IO3</v>
      </c>
      <c r="J14" s="103" t="s">
        <v>6</v>
      </c>
      <c r="K14" s="144" t="s">
        <v>7</v>
      </c>
      <c r="L14" s="128"/>
      <c r="M14" s="131"/>
      <c r="N14" s="134"/>
    </row>
    <row r="15" spans="1:14" x14ac:dyDescent="0.45">
      <c r="A15" s="159"/>
      <c r="B15" s="126"/>
      <c r="C15" s="30" t="str">
        <f>"PXIe-7820R/DIO" &amp; D15</f>
        <v>PXIe-7820R/DIO2</v>
      </c>
      <c r="D15" s="30">
        <f t="shared" si="1"/>
        <v>2</v>
      </c>
      <c r="E15" s="30" t="str">
        <f t="shared" si="2"/>
        <v>FPGA DO (PWM Gen.)</v>
      </c>
      <c r="F15" s="30" t="str">
        <f t="shared" si="2"/>
        <v>PWM_FR</v>
      </c>
      <c r="G15" s="30" t="str">
        <f t="shared" si="0"/>
        <v>ATE/IO3/PWM_FR</v>
      </c>
      <c r="H15" s="36" t="str">
        <f>Paths!$B$2 &amp; I15 &amp; Paths!$B$6</f>
        <v>Targets/Controller/Custom Devices/FPGA Addon/Scalars/Scalar Outputs/PWM.Out.IO3/FREQ</v>
      </c>
      <c r="I15" s="33" t="str">
        <f>"IO" &amp; A14</f>
        <v>IO3</v>
      </c>
      <c r="J15" s="104"/>
      <c r="K15" s="145"/>
      <c r="L15" s="129"/>
      <c r="M15" s="132"/>
      <c r="N15" s="135"/>
    </row>
    <row r="16" spans="1:14" x14ac:dyDescent="0.45">
      <c r="A16" s="159"/>
      <c r="B16" s="126"/>
      <c r="C16" s="30" t="str">
        <f>"PXIe-7820R/DIO" &amp; D16</f>
        <v>PXIe-7820R/DIO2</v>
      </c>
      <c r="D16" s="30">
        <f t="shared" si="1"/>
        <v>2</v>
      </c>
      <c r="E16" s="30" t="str">
        <f t="shared" si="2"/>
        <v>FPGA DO (PWM Gen.)</v>
      </c>
      <c r="F16" s="30" t="str">
        <f t="shared" si="2"/>
        <v>PWM_DC</v>
      </c>
      <c r="G16" s="30" t="str">
        <f t="shared" si="0"/>
        <v>ATE/IO3/PWM_DC</v>
      </c>
      <c r="H16" s="36" t="str">
        <f>Paths!$B$2 &amp; I16 &amp; Paths!$B$7</f>
        <v>Targets/Controller/Custom Devices/FPGA Addon/Scalars/Scalar Outputs/PWM.Out.IO3/DC</v>
      </c>
      <c r="I16" s="33" t="str">
        <f>"IO" &amp; A14</f>
        <v>IO3</v>
      </c>
      <c r="J16" s="104"/>
      <c r="K16" s="145"/>
      <c r="L16" s="129"/>
      <c r="M16" s="132"/>
      <c r="N16" s="135"/>
    </row>
    <row r="17" spans="1:14" x14ac:dyDescent="0.45">
      <c r="A17" s="159"/>
      <c r="B17" s="126"/>
      <c r="C17" s="30" t="str">
        <f>"SLSC-12201-1/P" &amp; ROUNDDOWN(D17/8,0) &amp; "." &amp; MOD(D17,8)</f>
        <v>SLSC-12201-1/P0.2</v>
      </c>
      <c r="D17" s="30">
        <f t="shared" si="1"/>
        <v>2</v>
      </c>
      <c r="E17" s="30" t="str">
        <f t="shared" si="2"/>
        <v>Output Push-Pull</v>
      </c>
      <c r="F17" s="30" t="str">
        <f t="shared" si="2"/>
        <v>None</v>
      </c>
      <c r="G17" s="30" t="str">
        <f t="shared" si="0"/>
        <v>None</v>
      </c>
      <c r="H17" s="36" t="str">
        <f>Paths!$B$19 &amp; "Bank " &amp; ROUNDDOWN(D17/16,0) &amp; "/Port " &amp; ROUNDDOWN(D17/8,0) &amp; "/Line " &amp;MOD(D17,8) &amp;"/Direction"</f>
        <v>Targets/Controller/Hardware/SLSC/SLSC Chassis/Modules/Slot 8 (SLSC-12201 DIO)/Bank 0/Port 0/Line 2/Direction</v>
      </c>
      <c r="I17" s="33" t="str">
        <f>"IO" &amp; A14</f>
        <v>IO3</v>
      </c>
      <c r="J17" s="104"/>
      <c r="K17" s="145"/>
      <c r="L17" s="129"/>
      <c r="M17" s="132"/>
      <c r="N17" s="135"/>
    </row>
    <row r="18" spans="1:14" x14ac:dyDescent="0.45">
      <c r="A18" s="159"/>
      <c r="B18" s="126"/>
      <c r="C18" s="30" t="str">
        <f>"PXI 10-100-001/SPDT" &amp; D18</f>
        <v>PXI 10-100-001/SPDT3</v>
      </c>
      <c r="D18" s="30">
        <f t="shared" si="1"/>
        <v>3</v>
      </c>
      <c r="E18" s="30" t="str">
        <f t="shared" si="2"/>
        <v>DO (SPDT)</v>
      </c>
      <c r="F18" s="30" t="str">
        <f t="shared" si="2"/>
        <v>Select_DO</v>
      </c>
      <c r="G18" s="30" t="str">
        <f t="shared" si="0"/>
        <v>ATE/IO3/Select_DO</v>
      </c>
      <c r="H18" s="41" t="str">
        <f>Paths!$B$12 &amp; D18</f>
        <v>Targets/Controller/Custom Devices/PickeringSwitching/Subunit1/Switch1_3</v>
      </c>
      <c r="I18" s="33" t="str">
        <f>"IO" &amp; A14</f>
        <v>IO3</v>
      </c>
      <c r="J18" s="104"/>
      <c r="K18" s="145"/>
      <c r="L18" s="129"/>
      <c r="M18" s="132"/>
      <c r="N18" s="135"/>
    </row>
    <row r="19" spans="1:14" ht="14.65" thickBot="1" x14ac:dyDescent="0.5">
      <c r="A19" s="114"/>
      <c r="B19" s="127"/>
      <c r="C19" s="31" t="str">
        <f>"PXI-2510-1/dut" &amp; D19</f>
        <v>PXI-2510-1/dut2</v>
      </c>
      <c r="D19" s="31">
        <f t="shared" si="1"/>
        <v>2</v>
      </c>
      <c r="E19" s="31" t="str">
        <f t="shared" si="2"/>
        <v>FIU</v>
      </c>
      <c r="F19" s="31" t="str">
        <f t="shared" si="2"/>
        <v>TBD</v>
      </c>
      <c r="G19" s="31" t="str">
        <f t="shared" si="0"/>
        <v>None</v>
      </c>
      <c r="H19" s="42" t="s">
        <v>28</v>
      </c>
      <c r="I19" s="34" t="str">
        <f>"IO" &amp; A14</f>
        <v>IO3</v>
      </c>
      <c r="J19" s="105"/>
      <c r="K19" s="146"/>
      <c r="L19" s="130"/>
      <c r="M19" s="133"/>
      <c r="N19" s="136"/>
    </row>
    <row r="20" spans="1:14" ht="15" customHeight="1" x14ac:dyDescent="0.45">
      <c r="A20" s="113">
        <f t="shared" ref="A20" si="5">A14+1</f>
        <v>4</v>
      </c>
      <c r="B20" s="100" t="str">
        <f t="shared" ref="B20" si="6">B14</f>
        <v>AO/DO
AO U: 0-10 V
DO: 0-Vsup</v>
      </c>
      <c r="C20" s="29" t="str">
        <f>"PXIe-6738/AO" &amp; D20</f>
        <v>PXIe-6738/AO3</v>
      </c>
      <c r="D20" s="29">
        <f t="shared" si="1"/>
        <v>3</v>
      </c>
      <c r="E20" s="29" t="str">
        <f t="shared" si="2"/>
        <v>Voltage out 0-10 V</v>
      </c>
      <c r="F20" s="29" t="str">
        <f t="shared" si="2"/>
        <v>AO</v>
      </c>
      <c r="G20" s="29" t="str">
        <f t="shared" si="0"/>
        <v>ATE/IO4/AO</v>
      </c>
      <c r="H20" s="39" t="str">
        <f>Paths!$B$26 &amp; D20</f>
        <v>Targets/Controller/Hardware/Chassis/DAQ/PXI1Slot15/Analog Output/AO3</v>
      </c>
      <c r="I20" s="32" t="str">
        <f>"IO" &amp; A20</f>
        <v>IO4</v>
      </c>
      <c r="J20" s="103" t="s">
        <v>6</v>
      </c>
      <c r="K20" s="144" t="s">
        <v>7</v>
      </c>
      <c r="L20" s="128"/>
      <c r="M20" s="131"/>
      <c r="N20" s="134"/>
    </row>
    <row r="21" spans="1:14" ht="15" customHeight="1" x14ac:dyDescent="0.45">
      <c r="A21" s="159"/>
      <c r="B21" s="126"/>
      <c r="C21" s="30" t="str">
        <f>"PXIe-7820R/DIO" &amp; D21</f>
        <v>PXIe-7820R/DIO3</v>
      </c>
      <c r="D21" s="30">
        <f t="shared" si="1"/>
        <v>3</v>
      </c>
      <c r="E21" s="30" t="str">
        <f t="shared" si="2"/>
        <v>FPGA DO (PWM Gen.)</v>
      </c>
      <c r="F21" s="30" t="str">
        <f t="shared" si="2"/>
        <v>PWM_FR</v>
      </c>
      <c r="G21" s="30" t="str">
        <f t="shared" si="0"/>
        <v>ATE/IO4/PWM_FR</v>
      </c>
      <c r="H21" s="36" t="str">
        <f>Paths!$B$2 &amp; I21 &amp; Paths!$B$6</f>
        <v>Targets/Controller/Custom Devices/FPGA Addon/Scalars/Scalar Outputs/PWM.Out.IO4/FREQ</v>
      </c>
      <c r="I21" s="33" t="str">
        <f>"IO" &amp; A20</f>
        <v>IO4</v>
      </c>
      <c r="J21" s="104"/>
      <c r="K21" s="145"/>
      <c r="L21" s="129"/>
      <c r="M21" s="132"/>
      <c r="N21" s="135"/>
    </row>
    <row r="22" spans="1:14" x14ac:dyDescent="0.45">
      <c r="A22" s="159"/>
      <c r="B22" s="126"/>
      <c r="C22" s="30" t="str">
        <f>"PXIe-7820R/DIO" &amp; D22</f>
        <v>PXIe-7820R/DIO3</v>
      </c>
      <c r="D22" s="30">
        <f t="shared" si="1"/>
        <v>3</v>
      </c>
      <c r="E22" s="30" t="str">
        <f t="shared" si="2"/>
        <v>FPGA DO (PWM Gen.)</v>
      </c>
      <c r="F22" s="30" t="str">
        <f t="shared" si="2"/>
        <v>PWM_DC</v>
      </c>
      <c r="G22" s="30" t="str">
        <f t="shared" si="0"/>
        <v>ATE/IO4/PWM_DC</v>
      </c>
      <c r="H22" s="36" t="str">
        <f>Paths!$B$2 &amp; I22 &amp; Paths!$B$7</f>
        <v>Targets/Controller/Custom Devices/FPGA Addon/Scalars/Scalar Outputs/PWM.Out.IO4/DC</v>
      </c>
      <c r="I22" s="33" t="str">
        <f>"IO" &amp; A20</f>
        <v>IO4</v>
      </c>
      <c r="J22" s="104"/>
      <c r="K22" s="145"/>
      <c r="L22" s="129"/>
      <c r="M22" s="132"/>
      <c r="N22" s="135"/>
    </row>
    <row r="23" spans="1:14" x14ac:dyDescent="0.45">
      <c r="A23" s="159"/>
      <c r="B23" s="126"/>
      <c r="C23" s="30" t="str">
        <f>"SLSC-12201-1/P" &amp; ROUNDDOWN(D23/8,0) &amp; "." &amp; MOD(D23,8)</f>
        <v>SLSC-12201-1/P0.3</v>
      </c>
      <c r="D23" s="30">
        <f t="shared" si="1"/>
        <v>3</v>
      </c>
      <c r="E23" s="30" t="str">
        <f t="shared" si="2"/>
        <v>Output Push-Pull</v>
      </c>
      <c r="F23" s="30" t="str">
        <f t="shared" si="2"/>
        <v>None</v>
      </c>
      <c r="G23" s="30" t="str">
        <f t="shared" si="0"/>
        <v>None</v>
      </c>
      <c r="H23" s="36" t="str">
        <f>Paths!$B$19 &amp; "Bank " &amp; ROUNDDOWN(D23/16,0) &amp; "/Port " &amp; ROUNDDOWN(D23/8,0) &amp; "/Line " &amp;MOD(D23,8) &amp;"/Direction"</f>
        <v>Targets/Controller/Hardware/SLSC/SLSC Chassis/Modules/Slot 8 (SLSC-12201 DIO)/Bank 0/Port 0/Line 3/Direction</v>
      </c>
      <c r="I23" s="33" t="str">
        <f>"IO" &amp; A20</f>
        <v>IO4</v>
      </c>
      <c r="J23" s="104"/>
      <c r="K23" s="145"/>
      <c r="L23" s="129"/>
      <c r="M23" s="132"/>
      <c r="N23" s="135"/>
    </row>
    <row r="24" spans="1:14" x14ac:dyDescent="0.45">
      <c r="A24" s="159"/>
      <c r="B24" s="126"/>
      <c r="C24" s="30" t="str">
        <f>"PXI 10-100-001/SPDT" &amp; D24</f>
        <v>PXI 10-100-001/SPDT4</v>
      </c>
      <c r="D24" s="30">
        <f t="shared" si="1"/>
        <v>4</v>
      </c>
      <c r="E24" s="30" t="str">
        <f t="shared" si="2"/>
        <v>DO (SPDT)</v>
      </c>
      <c r="F24" s="30" t="str">
        <f t="shared" si="2"/>
        <v>Select_DO</v>
      </c>
      <c r="G24" s="30" t="str">
        <f t="shared" si="0"/>
        <v>ATE/IO4/Select_DO</v>
      </c>
      <c r="H24" s="41" t="str">
        <f>Paths!$B$12 &amp; D24</f>
        <v>Targets/Controller/Custom Devices/PickeringSwitching/Subunit1/Switch1_4</v>
      </c>
      <c r="I24" s="33" t="str">
        <f>"IO" &amp; A20</f>
        <v>IO4</v>
      </c>
      <c r="J24" s="104"/>
      <c r="K24" s="145"/>
      <c r="L24" s="129"/>
      <c r="M24" s="132"/>
      <c r="N24" s="135"/>
    </row>
    <row r="25" spans="1:14" ht="14.65" thickBot="1" x14ac:dyDescent="0.5">
      <c r="A25" s="114"/>
      <c r="B25" s="127"/>
      <c r="C25" s="31" t="str">
        <f>"PXI-2510-1/dut" &amp; D25</f>
        <v>PXI-2510-1/dut3</v>
      </c>
      <c r="D25" s="31">
        <f t="shared" si="1"/>
        <v>3</v>
      </c>
      <c r="E25" s="31" t="str">
        <f t="shared" si="2"/>
        <v>FIU</v>
      </c>
      <c r="F25" s="31" t="str">
        <f t="shared" si="2"/>
        <v>TBD</v>
      </c>
      <c r="G25" s="31" t="str">
        <f t="shared" si="0"/>
        <v>None</v>
      </c>
      <c r="H25" s="42" t="s">
        <v>28</v>
      </c>
      <c r="I25" s="34" t="str">
        <f>"IO" &amp; A20</f>
        <v>IO4</v>
      </c>
      <c r="J25" s="105"/>
      <c r="K25" s="146"/>
      <c r="L25" s="130"/>
      <c r="M25" s="133"/>
      <c r="N25" s="136"/>
    </row>
    <row r="26" spans="1:14" ht="15" customHeight="1" x14ac:dyDescent="0.45">
      <c r="A26" s="113">
        <f t="shared" ref="A26" si="7">A20+1</f>
        <v>5</v>
      </c>
      <c r="B26" s="100" t="str">
        <f t="shared" ref="B26" si="8">B20</f>
        <v>AO/DO
AO U: 0-10 V
DO: 0-Vsup</v>
      </c>
      <c r="C26" s="29" t="str">
        <f>"PXIe-6738/AO" &amp; D26</f>
        <v>PXIe-6738/AO4</v>
      </c>
      <c r="D26" s="29">
        <f t="shared" si="1"/>
        <v>4</v>
      </c>
      <c r="E26" s="29" t="str">
        <f t="shared" si="2"/>
        <v>Voltage out 0-10 V</v>
      </c>
      <c r="F26" s="29" t="str">
        <f t="shared" si="2"/>
        <v>AO</v>
      </c>
      <c r="G26" s="29" t="str">
        <f t="shared" si="0"/>
        <v>ATE/IO5/AO</v>
      </c>
      <c r="H26" s="39" t="str">
        <f>Paths!$B$26 &amp; D26</f>
        <v>Targets/Controller/Hardware/Chassis/DAQ/PXI1Slot15/Analog Output/AO4</v>
      </c>
      <c r="I26" s="32" t="str">
        <f>"IO" &amp; A26</f>
        <v>IO5</v>
      </c>
      <c r="J26" s="103" t="s">
        <v>6</v>
      </c>
      <c r="K26" s="144" t="s">
        <v>7</v>
      </c>
      <c r="L26" s="128"/>
      <c r="M26" s="131"/>
      <c r="N26" s="134"/>
    </row>
    <row r="27" spans="1:14" ht="15" customHeight="1" x14ac:dyDescent="0.45">
      <c r="A27" s="159"/>
      <c r="B27" s="126"/>
      <c r="C27" s="30" t="str">
        <f>"PXIe-7820R/DIO" &amp; D27</f>
        <v>PXIe-7820R/DIO4</v>
      </c>
      <c r="D27" s="30">
        <f t="shared" si="1"/>
        <v>4</v>
      </c>
      <c r="E27" s="30" t="str">
        <f t="shared" si="2"/>
        <v>FPGA DO (PWM Gen.)</v>
      </c>
      <c r="F27" s="30" t="str">
        <f t="shared" si="2"/>
        <v>PWM_FR</v>
      </c>
      <c r="G27" s="30" t="str">
        <f t="shared" si="0"/>
        <v>ATE/IO5/PWM_FR</v>
      </c>
      <c r="H27" s="36" t="str">
        <f>Paths!$B$2 &amp; I27 &amp; Paths!$B$6</f>
        <v>Targets/Controller/Custom Devices/FPGA Addon/Scalars/Scalar Outputs/PWM.Out.IO5/FREQ</v>
      </c>
      <c r="I27" s="33" t="str">
        <f>"IO" &amp; A26</f>
        <v>IO5</v>
      </c>
      <c r="J27" s="104"/>
      <c r="K27" s="145"/>
      <c r="L27" s="129"/>
      <c r="M27" s="132"/>
      <c r="N27" s="135"/>
    </row>
    <row r="28" spans="1:14" x14ac:dyDescent="0.45">
      <c r="A28" s="159"/>
      <c r="B28" s="126"/>
      <c r="C28" s="30" t="str">
        <f>"PXIe-7820R/DIO" &amp; D28</f>
        <v>PXIe-7820R/DIO4</v>
      </c>
      <c r="D28" s="30">
        <f t="shared" si="1"/>
        <v>4</v>
      </c>
      <c r="E28" s="30" t="str">
        <f t="shared" ref="E28:F47" si="9">E22</f>
        <v>FPGA DO (PWM Gen.)</v>
      </c>
      <c r="F28" s="30" t="str">
        <f t="shared" si="9"/>
        <v>PWM_DC</v>
      </c>
      <c r="G28" s="30" t="str">
        <f t="shared" si="0"/>
        <v>ATE/IO5/PWM_DC</v>
      </c>
      <c r="H28" s="36" t="str">
        <f>Paths!$B$2 &amp; I28 &amp; Paths!$B$7</f>
        <v>Targets/Controller/Custom Devices/FPGA Addon/Scalars/Scalar Outputs/PWM.Out.IO5/DC</v>
      </c>
      <c r="I28" s="33" t="str">
        <f>"IO" &amp; A26</f>
        <v>IO5</v>
      </c>
      <c r="J28" s="104"/>
      <c r="K28" s="145"/>
      <c r="L28" s="129"/>
      <c r="M28" s="132"/>
      <c r="N28" s="135"/>
    </row>
    <row r="29" spans="1:14" x14ac:dyDescent="0.45">
      <c r="A29" s="159"/>
      <c r="B29" s="126"/>
      <c r="C29" s="30" t="str">
        <f>"SLSC-12201-1/P" &amp; ROUNDDOWN(D29/8,0) &amp; "." &amp; MOD(D29,8)</f>
        <v>SLSC-12201-1/P0.4</v>
      </c>
      <c r="D29" s="30">
        <f t="shared" si="1"/>
        <v>4</v>
      </c>
      <c r="E29" s="30" t="str">
        <f t="shared" si="9"/>
        <v>Output Push-Pull</v>
      </c>
      <c r="F29" s="30" t="str">
        <f t="shared" si="9"/>
        <v>None</v>
      </c>
      <c r="G29" s="30" t="str">
        <f t="shared" si="0"/>
        <v>None</v>
      </c>
      <c r="H29" s="36" t="str">
        <f>Paths!$B$19 &amp; "Bank " &amp; ROUNDDOWN(D29/16,0) &amp; "/Port " &amp; ROUNDDOWN(D29/8,0) &amp; "/Line " &amp;MOD(D29,8) &amp;"/Direction"</f>
        <v>Targets/Controller/Hardware/SLSC/SLSC Chassis/Modules/Slot 8 (SLSC-12201 DIO)/Bank 0/Port 0/Line 4/Direction</v>
      </c>
      <c r="I29" s="33" t="str">
        <f>"IO" &amp; A26</f>
        <v>IO5</v>
      </c>
      <c r="J29" s="104"/>
      <c r="K29" s="145"/>
      <c r="L29" s="129"/>
      <c r="M29" s="132"/>
      <c r="N29" s="135"/>
    </row>
    <row r="30" spans="1:14" x14ac:dyDescent="0.45">
      <c r="A30" s="159"/>
      <c r="B30" s="126"/>
      <c r="C30" s="30" t="str">
        <f>"PXI 10-100-001/SPDT" &amp; D30</f>
        <v>PXI 10-100-001/SPDT5</v>
      </c>
      <c r="D30" s="30">
        <f t="shared" si="1"/>
        <v>5</v>
      </c>
      <c r="E30" s="30" t="str">
        <f t="shared" si="9"/>
        <v>DO (SPDT)</v>
      </c>
      <c r="F30" s="30" t="str">
        <f t="shared" si="9"/>
        <v>Select_DO</v>
      </c>
      <c r="G30" s="30" t="str">
        <f t="shared" si="0"/>
        <v>ATE/IO5/Select_DO</v>
      </c>
      <c r="H30" s="41" t="str">
        <f>Paths!$B$12 &amp; D30</f>
        <v>Targets/Controller/Custom Devices/PickeringSwitching/Subunit1/Switch1_5</v>
      </c>
      <c r="I30" s="33" t="str">
        <f>"IO" &amp; A26</f>
        <v>IO5</v>
      </c>
      <c r="J30" s="104"/>
      <c r="K30" s="145"/>
      <c r="L30" s="129"/>
      <c r="M30" s="132"/>
      <c r="N30" s="135"/>
    </row>
    <row r="31" spans="1:14" ht="14.65" thickBot="1" x14ac:dyDescent="0.5">
      <c r="A31" s="114"/>
      <c r="B31" s="127"/>
      <c r="C31" s="31" t="str">
        <f>"PXI-2510-1/dut" &amp; D31</f>
        <v>PXI-2510-1/dut4</v>
      </c>
      <c r="D31" s="31">
        <f t="shared" si="1"/>
        <v>4</v>
      </c>
      <c r="E31" s="31" t="str">
        <f t="shared" si="9"/>
        <v>FIU</v>
      </c>
      <c r="F31" s="31" t="str">
        <f t="shared" si="9"/>
        <v>TBD</v>
      </c>
      <c r="G31" s="31" t="str">
        <f t="shared" si="0"/>
        <v>None</v>
      </c>
      <c r="H31" s="42" t="s">
        <v>28</v>
      </c>
      <c r="I31" s="34" t="str">
        <f>"IO" &amp; A26</f>
        <v>IO5</v>
      </c>
      <c r="J31" s="105"/>
      <c r="K31" s="146"/>
      <c r="L31" s="130"/>
      <c r="M31" s="133"/>
      <c r="N31" s="136"/>
    </row>
    <row r="32" spans="1:14" ht="15" customHeight="1" x14ac:dyDescent="0.45">
      <c r="A32" s="113">
        <f t="shared" ref="A32" si="10">A26+1</f>
        <v>6</v>
      </c>
      <c r="B32" s="100" t="str">
        <f t="shared" ref="B32" si="11">B26</f>
        <v>AO/DO
AO U: 0-10 V
DO: 0-Vsup</v>
      </c>
      <c r="C32" s="29" t="str">
        <f>"PXIe-6738/AO" &amp; D32</f>
        <v>PXIe-6738/AO5</v>
      </c>
      <c r="D32" s="29">
        <f t="shared" si="1"/>
        <v>5</v>
      </c>
      <c r="E32" s="29" t="str">
        <f t="shared" si="9"/>
        <v>Voltage out 0-10 V</v>
      </c>
      <c r="F32" s="29" t="str">
        <f t="shared" si="9"/>
        <v>AO</v>
      </c>
      <c r="G32" s="29" t="str">
        <f t="shared" ref="G32:G37" si="12">IF(OR(F32="None",F32="TBD"),"None",_xlfn.CONCAT("ATE/",I32,"/",F32))</f>
        <v>ATE/IO6/AO</v>
      </c>
      <c r="H32" s="39" t="str">
        <f>Paths!$B$26 &amp; D32</f>
        <v>Targets/Controller/Hardware/Chassis/DAQ/PXI1Slot15/Analog Output/AO5</v>
      </c>
      <c r="I32" s="32" t="str">
        <f>"IO" &amp; A32</f>
        <v>IO6</v>
      </c>
      <c r="J32" s="103" t="s">
        <v>6</v>
      </c>
      <c r="K32" s="144" t="s">
        <v>7</v>
      </c>
      <c r="L32" s="128"/>
      <c r="M32" s="131"/>
      <c r="N32" s="134"/>
    </row>
    <row r="33" spans="1:14" ht="15" customHeight="1" x14ac:dyDescent="0.45">
      <c r="A33" s="159"/>
      <c r="B33" s="126"/>
      <c r="C33" s="30" t="str">
        <f>"PXIe-7820R/DIO" &amp; D33</f>
        <v>PXIe-7820R/DIO5</v>
      </c>
      <c r="D33" s="30">
        <f t="shared" si="1"/>
        <v>5</v>
      </c>
      <c r="E33" s="30" t="str">
        <f t="shared" si="9"/>
        <v>FPGA DO (PWM Gen.)</v>
      </c>
      <c r="F33" s="30" t="str">
        <f t="shared" si="9"/>
        <v>PWM_FR</v>
      </c>
      <c r="G33" s="30" t="str">
        <f t="shared" si="12"/>
        <v>ATE/IO6/PWM_FR</v>
      </c>
      <c r="H33" s="36" t="str">
        <f>Paths!$B$2 &amp; I33 &amp; Paths!$B$6</f>
        <v>Targets/Controller/Custom Devices/FPGA Addon/Scalars/Scalar Outputs/PWM.Out.IO6/FREQ</v>
      </c>
      <c r="I33" s="33" t="str">
        <f>"IO" &amp; A32</f>
        <v>IO6</v>
      </c>
      <c r="J33" s="104"/>
      <c r="K33" s="145"/>
      <c r="L33" s="129"/>
      <c r="M33" s="132"/>
      <c r="N33" s="135"/>
    </row>
    <row r="34" spans="1:14" x14ac:dyDescent="0.45">
      <c r="A34" s="159"/>
      <c r="B34" s="126"/>
      <c r="C34" s="30" t="str">
        <f>"PXIe-7820R/DIO" &amp; D34</f>
        <v>PXIe-7820R/DIO5</v>
      </c>
      <c r="D34" s="30">
        <f t="shared" si="1"/>
        <v>5</v>
      </c>
      <c r="E34" s="30" t="str">
        <f t="shared" si="9"/>
        <v>FPGA DO (PWM Gen.)</v>
      </c>
      <c r="F34" s="30" t="str">
        <f t="shared" si="9"/>
        <v>PWM_DC</v>
      </c>
      <c r="G34" s="30" t="str">
        <f t="shared" si="12"/>
        <v>ATE/IO6/PWM_DC</v>
      </c>
      <c r="H34" s="36" t="str">
        <f>Paths!$B$2 &amp; I34 &amp; Paths!$B$7</f>
        <v>Targets/Controller/Custom Devices/FPGA Addon/Scalars/Scalar Outputs/PWM.Out.IO6/DC</v>
      </c>
      <c r="I34" s="33" t="str">
        <f>"IO" &amp; A32</f>
        <v>IO6</v>
      </c>
      <c r="J34" s="104"/>
      <c r="K34" s="145"/>
      <c r="L34" s="129"/>
      <c r="M34" s="132"/>
      <c r="N34" s="135"/>
    </row>
    <row r="35" spans="1:14" x14ac:dyDescent="0.45">
      <c r="A35" s="159"/>
      <c r="B35" s="126"/>
      <c r="C35" s="30" t="str">
        <f>"SLSC-12201-1/P" &amp; ROUNDDOWN(D35/8,0) &amp; "." &amp; MOD(D35,8)</f>
        <v>SLSC-12201-1/P0.5</v>
      </c>
      <c r="D35" s="30">
        <f t="shared" si="1"/>
        <v>5</v>
      </c>
      <c r="E35" s="30" t="str">
        <f t="shared" si="9"/>
        <v>Output Push-Pull</v>
      </c>
      <c r="F35" s="30" t="str">
        <f t="shared" si="9"/>
        <v>None</v>
      </c>
      <c r="G35" s="30" t="str">
        <f t="shared" si="12"/>
        <v>None</v>
      </c>
      <c r="H35" s="36" t="str">
        <f>Paths!$B$19 &amp; "Bank " &amp; ROUNDDOWN(D35/16,0) &amp; "/Port " &amp; ROUNDDOWN(D35/8,0) &amp; "/Line " &amp;MOD(D35,8) &amp;"/Direction"</f>
        <v>Targets/Controller/Hardware/SLSC/SLSC Chassis/Modules/Slot 8 (SLSC-12201 DIO)/Bank 0/Port 0/Line 5/Direction</v>
      </c>
      <c r="I35" s="33" t="str">
        <f>"IO" &amp; A32</f>
        <v>IO6</v>
      </c>
      <c r="J35" s="104"/>
      <c r="K35" s="145"/>
      <c r="L35" s="129"/>
      <c r="M35" s="132"/>
      <c r="N35" s="135"/>
    </row>
    <row r="36" spans="1:14" x14ac:dyDescent="0.45">
      <c r="A36" s="159"/>
      <c r="B36" s="126"/>
      <c r="C36" s="30" t="str">
        <f>"PXI 10-100-001/SPDT" &amp; D36</f>
        <v>PXI 10-100-001/SPDT6</v>
      </c>
      <c r="D36" s="30">
        <f t="shared" si="1"/>
        <v>6</v>
      </c>
      <c r="E36" s="30" t="str">
        <f t="shared" si="9"/>
        <v>DO (SPDT)</v>
      </c>
      <c r="F36" s="30" t="str">
        <f t="shared" si="9"/>
        <v>Select_DO</v>
      </c>
      <c r="G36" s="30" t="str">
        <f t="shared" si="12"/>
        <v>ATE/IO6/Select_DO</v>
      </c>
      <c r="H36" s="41" t="str">
        <f>Paths!$B$12 &amp; D36</f>
        <v>Targets/Controller/Custom Devices/PickeringSwitching/Subunit1/Switch1_6</v>
      </c>
      <c r="I36" s="33" t="str">
        <f>"IO" &amp; A32</f>
        <v>IO6</v>
      </c>
      <c r="J36" s="104"/>
      <c r="K36" s="145"/>
      <c r="L36" s="129"/>
      <c r="M36" s="132"/>
      <c r="N36" s="135"/>
    </row>
    <row r="37" spans="1:14" ht="14.65" thickBot="1" x14ac:dyDescent="0.5">
      <c r="A37" s="114"/>
      <c r="B37" s="127"/>
      <c r="C37" s="31" t="str">
        <f>"PXI-2510-1/dut" &amp; D37</f>
        <v>PXI-2510-1/dut5</v>
      </c>
      <c r="D37" s="31">
        <f t="shared" si="1"/>
        <v>5</v>
      </c>
      <c r="E37" s="31" t="str">
        <f t="shared" si="9"/>
        <v>FIU</v>
      </c>
      <c r="F37" s="31" t="str">
        <f t="shared" si="9"/>
        <v>TBD</v>
      </c>
      <c r="G37" s="31" t="str">
        <f t="shared" si="12"/>
        <v>None</v>
      </c>
      <c r="H37" s="42" t="s">
        <v>28</v>
      </c>
      <c r="I37" s="34" t="str">
        <f>"IO" &amp; A32</f>
        <v>IO6</v>
      </c>
      <c r="J37" s="105"/>
      <c r="K37" s="146"/>
      <c r="L37" s="130"/>
      <c r="M37" s="133"/>
      <c r="N37" s="136"/>
    </row>
    <row r="38" spans="1:14" ht="15" customHeight="1" x14ac:dyDescent="0.45">
      <c r="A38" s="113">
        <f t="shared" ref="A38" si="13">A32+1</f>
        <v>7</v>
      </c>
      <c r="B38" s="100" t="str">
        <f t="shared" ref="B38" si="14">B32</f>
        <v>AO/DO
AO U: 0-10 V
DO: 0-Vsup</v>
      </c>
      <c r="C38" s="29" t="str">
        <f>"PXIe-6738/AO" &amp; D38</f>
        <v>PXIe-6738/AO6</v>
      </c>
      <c r="D38" s="29">
        <f t="shared" si="1"/>
        <v>6</v>
      </c>
      <c r="E38" s="29" t="str">
        <f t="shared" si="9"/>
        <v>Voltage out 0-10 V</v>
      </c>
      <c r="F38" s="29" t="str">
        <f t="shared" si="9"/>
        <v>AO</v>
      </c>
      <c r="G38" s="29" t="str">
        <f t="shared" ref="G38:G43" si="15">IF(OR(F38="None",F38="TBD"),"None",_xlfn.CONCAT("ATE/",I38,"/",F38))</f>
        <v>ATE/IO7/AO</v>
      </c>
      <c r="H38" s="39" t="str">
        <f>Paths!$B$26 &amp; D38</f>
        <v>Targets/Controller/Hardware/Chassis/DAQ/PXI1Slot15/Analog Output/AO6</v>
      </c>
      <c r="I38" s="32" t="str">
        <f>"IO" &amp; A38</f>
        <v>IO7</v>
      </c>
      <c r="J38" s="103" t="s">
        <v>6</v>
      </c>
      <c r="K38" s="144" t="s">
        <v>7</v>
      </c>
      <c r="L38" s="128"/>
      <c r="M38" s="131"/>
      <c r="N38" s="134"/>
    </row>
    <row r="39" spans="1:14" ht="15" customHeight="1" x14ac:dyDescent="0.45">
      <c r="A39" s="159"/>
      <c r="B39" s="126"/>
      <c r="C39" s="30" t="str">
        <f>"PXIe-7820R/DIO" &amp; D39</f>
        <v>PXIe-7820R/DIO6</v>
      </c>
      <c r="D39" s="30">
        <f t="shared" si="1"/>
        <v>6</v>
      </c>
      <c r="E39" s="30" t="str">
        <f t="shared" si="9"/>
        <v>FPGA DO (PWM Gen.)</v>
      </c>
      <c r="F39" s="30" t="str">
        <f t="shared" si="9"/>
        <v>PWM_FR</v>
      </c>
      <c r="G39" s="30" t="str">
        <f t="shared" si="15"/>
        <v>ATE/IO7/PWM_FR</v>
      </c>
      <c r="H39" s="36" t="str">
        <f>Paths!$B$2 &amp; I39 &amp; Paths!$B$6</f>
        <v>Targets/Controller/Custom Devices/FPGA Addon/Scalars/Scalar Outputs/PWM.Out.IO7/FREQ</v>
      </c>
      <c r="I39" s="33" t="str">
        <f>"IO" &amp; A38</f>
        <v>IO7</v>
      </c>
      <c r="J39" s="104"/>
      <c r="K39" s="145"/>
      <c r="L39" s="129"/>
      <c r="M39" s="132"/>
      <c r="N39" s="135"/>
    </row>
    <row r="40" spans="1:14" x14ac:dyDescent="0.45">
      <c r="A40" s="159"/>
      <c r="B40" s="126"/>
      <c r="C40" s="30" t="str">
        <f>"PXIe-7820R/DIO" &amp; D40</f>
        <v>PXIe-7820R/DIO6</v>
      </c>
      <c r="D40" s="30">
        <f t="shared" ref="D40:D71" si="16">D34+1</f>
        <v>6</v>
      </c>
      <c r="E40" s="30" t="str">
        <f t="shared" si="9"/>
        <v>FPGA DO (PWM Gen.)</v>
      </c>
      <c r="F40" s="30" t="str">
        <f t="shared" si="9"/>
        <v>PWM_DC</v>
      </c>
      <c r="G40" s="30" t="str">
        <f t="shared" si="15"/>
        <v>ATE/IO7/PWM_DC</v>
      </c>
      <c r="H40" s="36" t="str">
        <f>Paths!$B$2 &amp; I40 &amp; Paths!$B$7</f>
        <v>Targets/Controller/Custom Devices/FPGA Addon/Scalars/Scalar Outputs/PWM.Out.IO7/DC</v>
      </c>
      <c r="I40" s="33" t="str">
        <f>"IO" &amp; A38</f>
        <v>IO7</v>
      </c>
      <c r="J40" s="104"/>
      <c r="K40" s="145"/>
      <c r="L40" s="129"/>
      <c r="M40" s="132"/>
      <c r="N40" s="135"/>
    </row>
    <row r="41" spans="1:14" x14ac:dyDescent="0.45">
      <c r="A41" s="159"/>
      <c r="B41" s="126"/>
      <c r="C41" s="30" t="str">
        <f>"SLSC-12201-1/P" &amp; ROUNDDOWN(D41/8,0) &amp; "." &amp; MOD(D41,8)</f>
        <v>SLSC-12201-1/P0.6</v>
      </c>
      <c r="D41" s="30">
        <f t="shared" si="16"/>
        <v>6</v>
      </c>
      <c r="E41" s="30" t="str">
        <f t="shared" si="9"/>
        <v>Output Push-Pull</v>
      </c>
      <c r="F41" s="30" t="str">
        <f t="shared" si="9"/>
        <v>None</v>
      </c>
      <c r="G41" s="30" t="str">
        <f t="shared" si="15"/>
        <v>None</v>
      </c>
      <c r="H41" s="36" t="str">
        <f>Paths!$B$19 &amp; "Bank " &amp; ROUNDDOWN(D41/16,0) &amp; "/Port " &amp; ROUNDDOWN(D41/8,0) &amp; "/Line " &amp;MOD(D41,8) &amp;"/Direction"</f>
        <v>Targets/Controller/Hardware/SLSC/SLSC Chassis/Modules/Slot 8 (SLSC-12201 DIO)/Bank 0/Port 0/Line 6/Direction</v>
      </c>
      <c r="I41" s="33" t="str">
        <f>"IO" &amp; A38</f>
        <v>IO7</v>
      </c>
      <c r="J41" s="104"/>
      <c r="K41" s="145"/>
      <c r="L41" s="129"/>
      <c r="M41" s="132"/>
      <c r="N41" s="135"/>
    </row>
    <row r="42" spans="1:14" x14ac:dyDescent="0.45">
      <c r="A42" s="159"/>
      <c r="B42" s="126"/>
      <c r="C42" s="30" t="str">
        <f>"PXI 10-100-001/SPDT" &amp; D42</f>
        <v>PXI 10-100-001/SPDT7</v>
      </c>
      <c r="D42" s="30">
        <f t="shared" si="16"/>
        <v>7</v>
      </c>
      <c r="E42" s="30" t="str">
        <f t="shared" si="9"/>
        <v>DO (SPDT)</v>
      </c>
      <c r="F42" s="30" t="str">
        <f t="shared" si="9"/>
        <v>Select_DO</v>
      </c>
      <c r="G42" s="30" t="str">
        <f t="shared" si="15"/>
        <v>ATE/IO7/Select_DO</v>
      </c>
      <c r="H42" s="41" t="str">
        <f>Paths!$B$12 &amp; D42</f>
        <v>Targets/Controller/Custom Devices/PickeringSwitching/Subunit1/Switch1_7</v>
      </c>
      <c r="I42" s="33" t="str">
        <f>"IO" &amp; A38</f>
        <v>IO7</v>
      </c>
      <c r="J42" s="104"/>
      <c r="K42" s="145"/>
      <c r="L42" s="129"/>
      <c r="M42" s="132"/>
      <c r="N42" s="135"/>
    </row>
    <row r="43" spans="1:14" ht="14.65" thickBot="1" x14ac:dyDescent="0.5">
      <c r="A43" s="114"/>
      <c r="B43" s="127"/>
      <c r="C43" s="31" t="str">
        <f>"PXI-2510-1/dut" &amp; D43</f>
        <v>PXI-2510-1/dut6</v>
      </c>
      <c r="D43" s="31">
        <f t="shared" si="16"/>
        <v>6</v>
      </c>
      <c r="E43" s="31" t="str">
        <f t="shared" si="9"/>
        <v>FIU</v>
      </c>
      <c r="F43" s="31" t="str">
        <f t="shared" si="9"/>
        <v>TBD</v>
      </c>
      <c r="G43" s="31" t="str">
        <f t="shared" si="15"/>
        <v>None</v>
      </c>
      <c r="H43" s="42" t="s">
        <v>28</v>
      </c>
      <c r="I43" s="34" t="str">
        <f>"IO" &amp; A38</f>
        <v>IO7</v>
      </c>
      <c r="J43" s="105"/>
      <c r="K43" s="146"/>
      <c r="L43" s="130"/>
      <c r="M43" s="133"/>
      <c r="N43" s="136"/>
    </row>
    <row r="44" spans="1:14" ht="15" customHeight="1" x14ac:dyDescent="0.45">
      <c r="A44" s="113">
        <f t="shared" ref="A44" si="17">A38+1</f>
        <v>8</v>
      </c>
      <c r="B44" s="100" t="str">
        <f>B38</f>
        <v>AO/DO
AO U: 0-10 V
DO: 0-Vsup</v>
      </c>
      <c r="C44" s="29" t="str">
        <f>"PXIe-6738/AO" &amp; D44</f>
        <v>PXIe-6738/AO7</v>
      </c>
      <c r="D44" s="29">
        <f t="shared" si="16"/>
        <v>7</v>
      </c>
      <c r="E44" s="29" t="str">
        <f t="shared" si="9"/>
        <v>Voltage out 0-10 V</v>
      </c>
      <c r="F44" s="29" t="str">
        <f t="shared" si="9"/>
        <v>AO</v>
      </c>
      <c r="G44" s="29" t="str">
        <f t="shared" ref="G44:G49" si="18">IF(OR(F44="None",F44="TBD"),"None",_xlfn.CONCAT("ATE/",I44,"/",F44))</f>
        <v>ATE/IO8/AO</v>
      </c>
      <c r="H44" s="39" t="str">
        <f>Paths!$B$26 &amp; D44</f>
        <v>Targets/Controller/Hardware/Chassis/DAQ/PXI1Slot15/Analog Output/AO7</v>
      </c>
      <c r="I44" s="32" t="str">
        <f>"IO" &amp; A44</f>
        <v>IO8</v>
      </c>
      <c r="J44" s="103" t="s">
        <v>6</v>
      </c>
      <c r="K44" s="144" t="s">
        <v>7</v>
      </c>
      <c r="L44" s="128"/>
      <c r="M44" s="131"/>
      <c r="N44" s="134"/>
    </row>
    <row r="45" spans="1:14" ht="15" customHeight="1" x14ac:dyDescent="0.45">
      <c r="A45" s="159"/>
      <c r="B45" s="126"/>
      <c r="C45" s="30" t="str">
        <f>"PXIe-7820R/DIO" &amp; D45</f>
        <v>PXIe-7820R/DIO7</v>
      </c>
      <c r="D45" s="30">
        <f t="shared" si="16"/>
        <v>7</v>
      </c>
      <c r="E45" s="30" t="str">
        <f t="shared" si="9"/>
        <v>FPGA DO (PWM Gen.)</v>
      </c>
      <c r="F45" s="30" t="str">
        <f t="shared" si="9"/>
        <v>PWM_FR</v>
      </c>
      <c r="G45" s="30" t="str">
        <f t="shared" si="18"/>
        <v>ATE/IO8/PWM_FR</v>
      </c>
      <c r="H45" s="36" t="str">
        <f>Paths!$B$2 &amp; I45 &amp; Paths!$B$6</f>
        <v>Targets/Controller/Custom Devices/FPGA Addon/Scalars/Scalar Outputs/PWM.Out.IO8/FREQ</v>
      </c>
      <c r="I45" s="33" t="str">
        <f>"IO" &amp; A44</f>
        <v>IO8</v>
      </c>
      <c r="J45" s="104"/>
      <c r="K45" s="145"/>
      <c r="L45" s="129"/>
      <c r="M45" s="132"/>
      <c r="N45" s="135"/>
    </row>
    <row r="46" spans="1:14" x14ac:dyDescent="0.45">
      <c r="A46" s="159"/>
      <c r="B46" s="126"/>
      <c r="C46" s="30" t="str">
        <f>"PXIe-7820R/DIO" &amp; D46</f>
        <v>PXIe-7820R/DIO7</v>
      </c>
      <c r="D46" s="30">
        <f t="shared" si="16"/>
        <v>7</v>
      </c>
      <c r="E46" s="30" t="str">
        <f t="shared" si="9"/>
        <v>FPGA DO (PWM Gen.)</v>
      </c>
      <c r="F46" s="30" t="str">
        <f t="shared" si="9"/>
        <v>PWM_DC</v>
      </c>
      <c r="G46" s="30" t="str">
        <f t="shared" si="18"/>
        <v>ATE/IO8/PWM_DC</v>
      </c>
      <c r="H46" s="36" t="str">
        <f>Paths!$B$2 &amp; I46 &amp; Paths!$B$7</f>
        <v>Targets/Controller/Custom Devices/FPGA Addon/Scalars/Scalar Outputs/PWM.Out.IO8/DC</v>
      </c>
      <c r="I46" s="33" t="str">
        <f>"IO" &amp; A44</f>
        <v>IO8</v>
      </c>
      <c r="J46" s="104"/>
      <c r="K46" s="145"/>
      <c r="L46" s="129"/>
      <c r="M46" s="132"/>
      <c r="N46" s="135"/>
    </row>
    <row r="47" spans="1:14" x14ac:dyDescent="0.45">
      <c r="A47" s="159"/>
      <c r="B47" s="126"/>
      <c r="C47" s="30" t="str">
        <f>"SLSC-12201-1/P" &amp; ROUNDDOWN(D47/8,0) &amp; "." &amp; MOD(D47,8)</f>
        <v>SLSC-12201-1/P0.7</v>
      </c>
      <c r="D47" s="30">
        <f t="shared" si="16"/>
        <v>7</v>
      </c>
      <c r="E47" s="30" t="str">
        <f t="shared" si="9"/>
        <v>Output Push-Pull</v>
      </c>
      <c r="F47" s="30" t="str">
        <f t="shared" si="9"/>
        <v>None</v>
      </c>
      <c r="G47" s="30" t="str">
        <f t="shared" si="18"/>
        <v>None</v>
      </c>
      <c r="H47" s="36" t="str">
        <f>Paths!$B$19 &amp; "Bank " &amp; ROUNDDOWN(D47/16,0) &amp; "/Port " &amp; ROUNDDOWN(D47/8,0) &amp; "/Line " &amp;MOD(D47,8) &amp;"/Direction"</f>
        <v>Targets/Controller/Hardware/SLSC/SLSC Chassis/Modules/Slot 8 (SLSC-12201 DIO)/Bank 0/Port 0/Line 7/Direction</v>
      </c>
      <c r="I47" s="33" t="str">
        <f>"IO" &amp; A44</f>
        <v>IO8</v>
      </c>
      <c r="J47" s="104"/>
      <c r="K47" s="145"/>
      <c r="L47" s="129"/>
      <c r="M47" s="132"/>
      <c r="N47" s="135"/>
    </row>
    <row r="48" spans="1:14" x14ac:dyDescent="0.45">
      <c r="A48" s="159"/>
      <c r="B48" s="126"/>
      <c r="C48" s="30" t="str">
        <f>"PXI 10-100-001/SPDT" &amp; D48</f>
        <v>PXI 10-100-001/SPDT8</v>
      </c>
      <c r="D48" s="30">
        <f t="shared" si="16"/>
        <v>8</v>
      </c>
      <c r="E48" s="30" t="str">
        <f t="shared" ref="E48:F67" si="19">E42</f>
        <v>DO (SPDT)</v>
      </c>
      <c r="F48" s="30" t="str">
        <f t="shared" si="19"/>
        <v>Select_DO</v>
      </c>
      <c r="G48" s="3" t="str">
        <f t="shared" si="18"/>
        <v>ATE/IO8/Select_DO</v>
      </c>
      <c r="H48" s="41" t="str">
        <f>Paths!$B$12 &amp; D48</f>
        <v>Targets/Controller/Custom Devices/PickeringSwitching/Subunit1/Switch1_8</v>
      </c>
      <c r="I48" s="33" t="str">
        <f>"IO" &amp; A44</f>
        <v>IO8</v>
      </c>
      <c r="J48" s="104"/>
      <c r="K48" s="145"/>
      <c r="L48" s="129"/>
      <c r="M48" s="132"/>
      <c r="N48" s="135"/>
    </row>
    <row r="49" spans="1:14" ht="14.65" thickBot="1" x14ac:dyDescent="0.5">
      <c r="A49" s="114"/>
      <c r="B49" s="127"/>
      <c r="C49" s="31" t="str">
        <f>"PXI-2510-1/dut" &amp; D49</f>
        <v>PXI-2510-1/dut7</v>
      </c>
      <c r="D49" s="31">
        <f t="shared" si="16"/>
        <v>7</v>
      </c>
      <c r="E49" s="31" t="str">
        <f t="shared" si="19"/>
        <v>FIU</v>
      </c>
      <c r="F49" s="31" t="str">
        <f t="shared" si="19"/>
        <v>TBD</v>
      </c>
      <c r="G49" s="5" t="str">
        <f t="shared" si="18"/>
        <v>None</v>
      </c>
      <c r="H49" s="42" t="s">
        <v>28</v>
      </c>
      <c r="I49" s="34" t="str">
        <f>"IO" &amp; A44</f>
        <v>IO8</v>
      </c>
      <c r="J49" s="105"/>
      <c r="K49" s="146"/>
      <c r="L49" s="130"/>
      <c r="M49" s="133"/>
      <c r="N49" s="136"/>
    </row>
    <row r="50" spans="1:14" ht="15" customHeight="1" x14ac:dyDescent="0.45">
      <c r="A50" s="113">
        <f t="shared" ref="A50" si="20">A44+1</f>
        <v>9</v>
      </c>
      <c r="B50" s="100" t="str">
        <f t="shared" ref="B50" si="21">B44</f>
        <v>AO/DO
AO U: 0-10 V
DO: 0-Vsup</v>
      </c>
      <c r="C50" s="29" t="str">
        <f>"PXIe-6738/AO" &amp; D50</f>
        <v>PXIe-6738/AO8</v>
      </c>
      <c r="D50" s="29">
        <f t="shared" si="16"/>
        <v>8</v>
      </c>
      <c r="E50" s="29" t="str">
        <f t="shared" si="19"/>
        <v>Voltage out 0-10 V</v>
      </c>
      <c r="F50" s="29" t="str">
        <f t="shared" si="19"/>
        <v>AO</v>
      </c>
      <c r="G50" s="29" t="str">
        <f t="shared" ref="G50:G55" si="22">IF(OR(F50="None",F50="TBD"),"None",_xlfn.CONCAT("ATE/",I50,"/",F50))</f>
        <v>ATE/IO9/AO</v>
      </c>
      <c r="H50" s="39" t="str">
        <f>Paths!$B$26 &amp; D50</f>
        <v>Targets/Controller/Hardware/Chassis/DAQ/PXI1Slot15/Analog Output/AO8</v>
      </c>
      <c r="I50" s="32" t="str">
        <f>"IO" &amp; A50</f>
        <v>IO9</v>
      </c>
      <c r="J50" s="103" t="s">
        <v>6</v>
      </c>
      <c r="K50" s="144" t="s">
        <v>7</v>
      </c>
      <c r="L50" s="128"/>
      <c r="M50" s="131"/>
      <c r="N50" s="134"/>
    </row>
    <row r="51" spans="1:14" ht="15" customHeight="1" x14ac:dyDescent="0.45">
      <c r="A51" s="159"/>
      <c r="B51" s="126"/>
      <c r="C51" s="30" t="str">
        <f>"PXIe-7820R/DIO" &amp; D51</f>
        <v>PXIe-7820R/DIO8</v>
      </c>
      <c r="D51" s="30">
        <f t="shared" si="16"/>
        <v>8</v>
      </c>
      <c r="E51" s="30" t="str">
        <f t="shared" si="19"/>
        <v>FPGA DO (PWM Gen.)</v>
      </c>
      <c r="F51" s="30" t="str">
        <f t="shared" si="19"/>
        <v>PWM_FR</v>
      </c>
      <c r="G51" s="30" t="str">
        <f t="shared" si="22"/>
        <v>ATE/IO9/PWM_FR</v>
      </c>
      <c r="H51" s="36" t="str">
        <f>Paths!$B$2 &amp; I51 &amp; Paths!$B$6</f>
        <v>Targets/Controller/Custom Devices/FPGA Addon/Scalars/Scalar Outputs/PWM.Out.IO9/FREQ</v>
      </c>
      <c r="I51" s="33" t="str">
        <f>"IO" &amp; A50</f>
        <v>IO9</v>
      </c>
      <c r="J51" s="104"/>
      <c r="K51" s="145"/>
      <c r="L51" s="129"/>
      <c r="M51" s="132"/>
      <c r="N51" s="135"/>
    </row>
    <row r="52" spans="1:14" x14ac:dyDescent="0.45">
      <c r="A52" s="159"/>
      <c r="B52" s="126"/>
      <c r="C52" s="30" t="str">
        <f>"PXIe-7820R/DIO" &amp; D52</f>
        <v>PXIe-7820R/DIO8</v>
      </c>
      <c r="D52" s="30">
        <f t="shared" si="16"/>
        <v>8</v>
      </c>
      <c r="E52" s="30" t="str">
        <f t="shared" si="19"/>
        <v>FPGA DO (PWM Gen.)</v>
      </c>
      <c r="F52" s="30" t="str">
        <f t="shared" si="19"/>
        <v>PWM_DC</v>
      </c>
      <c r="G52" s="30" t="str">
        <f t="shared" si="22"/>
        <v>ATE/IO9/PWM_DC</v>
      </c>
      <c r="H52" s="36" t="str">
        <f>Paths!$B$2 &amp; I52 &amp; Paths!$B$7</f>
        <v>Targets/Controller/Custom Devices/FPGA Addon/Scalars/Scalar Outputs/PWM.Out.IO9/DC</v>
      </c>
      <c r="I52" s="33" t="str">
        <f>"IO" &amp; A50</f>
        <v>IO9</v>
      </c>
      <c r="J52" s="104"/>
      <c r="K52" s="145"/>
      <c r="L52" s="129"/>
      <c r="M52" s="132"/>
      <c r="N52" s="135"/>
    </row>
    <row r="53" spans="1:14" x14ac:dyDescent="0.45">
      <c r="A53" s="159"/>
      <c r="B53" s="126"/>
      <c r="C53" s="30" t="str">
        <f>"SLSC-12201-1/P" &amp; ROUNDDOWN(D53/8,0) &amp; "." &amp; MOD(D53,8)</f>
        <v>SLSC-12201-1/P1.0</v>
      </c>
      <c r="D53" s="30">
        <f t="shared" si="16"/>
        <v>8</v>
      </c>
      <c r="E53" s="30" t="str">
        <f t="shared" si="19"/>
        <v>Output Push-Pull</v>
      </c>
      <c r="F53" s="30" t="str">
        <f t="shared" si="19"/>
        <v>None</v>
      </c>
      <c r="G53" s="30" t="str">
        <f t="shared" si="22"/>
        <v>None</v>
      </c>
      <c r="H53" s="36" t="str">
        <f>Paths!$B$19 &amp; "Bank " &amp; ROUNDDOWN(D53/16,0) &amp; "/Port " &amp; ROUNDDOWN(D53/8,0) &amp; "/Line " &amp;MOD(D53,8) &amp;"/Direction"</f>
        <v>Targets/Controller/Hardware/SLSC/SLSC Chassis/Modules/Slot 8 (SLSC-12201 DIO)/Bank 0/Port 1/Line 0/Direction</v>
      </c>
      <c r="I53" s="33" t="str">
        <f>"IO" &amp; A50</f>
        <v>IO9</v>
      </c>
      <c r="J53" s="104"/>
      <c r="K53" s="145"/>
      <c r="L53" s="129"/>
      <c r="M53" s="132"/>
      <c r="N53" s="135"/>
    </row>
    <row r="54" spans="1:14" x14ac:dyDescent="0.45">
      <c r="A54" s="159"/>
      <c r="B54" s="126"/>
      <c r="C54" s="30" t="str">
        <f>"PXI 10-100-001/SPDT" &amp; D54</f>
        <v>PXI 10-100-001/SPDT9</v>
      </c>
      <c r="D54" s="30">
        <f t="shared" si="16"/>
        <v>9</v>
      </c>
      <c r="E54" s="30" t="str">
        <f t="shared" si="19"/>
        <v>DO (SPDT)</v>
      </c>
      <c r="F54" s="30" t="str">
        <f t="shared" si="19"/>
        <v>Select_DO</v>
      </c>
      <c r="G54" s="3" t="str">
        <f t="shared" si="22"/>
        <v>ATE/IO9/Select_DO</v>
      </c>
      <c r="H54" s="41" t="str">
        <f>Paths!$B$12 &amp; D54</f>
        <v>Targets/Controller/Custom Devices/PickeringSwitching/Subunit1/Switch1_9</v>
      </c>
      <c r="I54" s="33" t="str">
        <f>"IO" &amp; A50</f>
        <v>IO9</v>
      </c>
      <c r="J54" s="104"/>
      <c r="K54" s="145"/>
      <c r="L54" s="129"/>
      <c r="M54" s="132"/>
      <c r="N54" s="135"/>
    </row>
    <row r="55" spans="1:14" ht="14.65" thickBot="1" x14ac:dyDescent="0.5">
      <c r="A55" s="114"/>
      <c r="B55" s="127"/>
      <c r="C55" s="31" t="str">
        <f>"PXI-2510-1/dut" &amp; D55</f>
        <v>PXI-2510-1/dut8</v>
      </c>
      <c r="D55" s="31">
        <f t="shared" si="16"/>
        <v>8</v>
      </c>
      <c r="E55" s="31" t="str">
        <f t="shared" si="19"/>
        <v>FIU</v>
      </c>
      <c r="F55" s="31" t="str">
        <f t="shared" si="19"/>
        <v>TBD</v>
      </c>
      <c r="G55" s="5" t="str">
        <f t="shared" si="22"/>
        <v>None</v>
      </c>
      <c r="H55" s="42" t="s">
        <v>28</v>
      </c>
      <c r="I55" s="34" t="str">
        <f>"IO" &amp; A50</f>
        <v>IO9</v>
      </c>
      <c r="J55" s="105"/>
      <c r="K55" s="146"/>
      <c r="L55" s="130"/>
      <c r="M55" s="133"/>
      <c r="N55" s="136"/>
    </row>
    <row r="56" spans="1:14" ht="15" customHeight="1" x14ac:dyDescent="0.45">
      <c r="A56" s="113">
        <f t="shared" ref="A56" si="23">A50+1</f>
        <v>10</v>
      </c>
      <c r="B56" s="100" t="str">
        <f t="shared" ref="B56" si="24">B50</f>
        <v>AO/DO
AO U: 0-10 V
DO: 0-Vsup</v>
      </c>
      <c r="C56" s="29" t="str">
        <f>"PXIe-6738/AO" &amp; D56</f>
        <v>PXIe-6738/AO9</v>
      </c>
      <c r="D56" s="29">
        <f t="shared" si="16"/>
        <v>9</v>
      </c>
      <c r="E56" s="29" t="str">
        <f t="shared" si="19"/>
        <v>Voltage out 0-10 V</v>
      </c>
      <c r="F56" s="29" t="str">
        <f t="shared" si="19"/>
        <v>AO</v>
      </c>
      <c r="G56" s="29" t="str">
        <f t="shared" ref="G56:G61" si="25">IF(OR(F56="None",F56="TBD"),"None",_xlfn.CONCAT("ATE/",I56,"/",F56))</f>
        <v>ATE/IO10/AO</v>
      </c>
      <c r="H56" s="39" t="str">
        <f>Paths!$B$26 &amp; D56</f>
        <v>Targets/Controller/Hardware/Chassis/DAQ/PXI1Slot15/Analog Output/AO9</v>
      </c>
      <c r="I56" s="32" t="str">
        <f>"IO" &amp; A56</f>
        <v>IO10</v>
      </c>
      <c r="J56" s="103" t="s">
        <v>6</v>
      </c>
      <c r="K56" s="144" t="s">
        <v>7</v>
      </c>
      <c r="L56" s="128"/>
      <c r="M56" s="131"/>
      <c r="N56" s="134"/>
    </row>
    <row r="57" spans="1:14" ht="15" customHeight="1" x14ac:dyDescent="0.45">
      <c r="A57" s="159"/>
      <c r="B57" s="126"/>
      <c r="C57" s="30" t="str">
        <f>"PXIe-7820R/DIO" &amp; D57</f>
        <v>PXIe-7820R/DIO9</v>
      </c>
      <c r="D57" s="30">
        <f t="shared" si="16"/>
        <v>9</v>
      </c>
      <c r="E57" s="30" t="str">
        <f t="shared" si="19"/>
        <v>FPGA DO (PWM Gen.)</v>
      </c>
      <c r="F57" s="30" t="str">
        <f t="shared" si="19"/>
        <v>PWM_FR</v>
      </c>
      <c r="G57" s="30" t="str">
        <f t="shared" si="25"/>
        <v>ATE/IO10/PWM_FR</v>
      </c>
      <c r="H57" s="36" t="str">
        <f>Paths!$B$2 &amp; I57 &amp; Paths!$B$6</f>
        <v>Targets/Controller/Custom Devices/FPGA Addon/Scalars/Scalar Outputs/PWM.Out.IO10/FREQ</v>
      </c>
      <c r="I57" s="33" t="str">
        <f>"IO" &amp; A56</f>
        <v>IO10</v>
      </c>
      <c r="J57" s="104"/>
      <c r="K57" s="145"/>
      <c r="L57" s="129"/>
      <c r="M57" s="132"/>
      <c r="N57" s="135"/>
    </row>
    <row r="58" spans="1:14" x14ac:dyDescent="0.45">
      <c r="A58" s="159"/>
      <c r="B58" s="126"/>
      <c r="C58" s="30" t="str">
        <f>"PXIe-7820R/DIO" &amp; D58</f>
        <v>PXIe-7820R/DIO9</v>
      </c>
      <c r="D58" s="30">
        <f t="shared" si="16"/>
        <v>9</v>
      </c>
      <c r="E58" s="30" t="str">
        <f t="shared" si="19"/>
        <v>FPGA DO (PWM Gen.)</v>
      </c>
      <c r="F58" s="30" t="str">
        <f t="shared" si="19"/>
        <v>PWM_DC</v>
      </c>
      <c r="G58" s="30" t="str">
        <f t="shared" si="25"/>
        <v>ATE/IO10/PWM_DC</v>
      </c>
      <c r="H58" s="36" t="str">
        <f>Paths!$B$2 &amp; I58 &amp; Paths!$B$7</f>
        <v>Targets/Controller/Custom Devices/FPGA Addon/Scalars/Scalar Outputs/PWM.Out.IO10/DC</v>
      </c>
      <c r="I58" s="33" t="str">
        <f>"IO" &amp; A56</f>
        <v>IO10</v>
      </c>
      <c r="J58" s="104"/>
      <c r="K58" s="145"/>
      <c r="L58" s="129"/>
      <c r="M58" s="132"/>
      <c r="N58" s="135"/>
    </row>
    <row r="59" spans="1:14" x14ac:dyDescent="0.45">
      <c r="A59" s="159"/>
      <c r="B59" s="126"/>
      <c r="C59" s="30" t="str">
        <f>"SLSC-12201-1/P" &amp; ROUNDDOWN(D59/8,0) &amp; "." &amp; MOD(D59,8)</f>
        <v>SLSC-12201-1/P1.1</v>
      </c>
      <c r="D59" s="30">
        <f t="shared" si="16"/>
        <v>9</v>
      </c>
      <c r="E59" s="30" t="str">
        <f t="shared" si="19"/>
        <v>Output Push-Pull</v>
      </c>
      <c r="F59" s="30" t="str">
        <f t="shared" si="19"/>
        <v>None</v>
      </c>
      <c r="G59" s="30" t="str">
        <f t="shared" si="25"/>
        <v>None</v>
      </c>
      <c r="H59" s="36" t="str">
        <f>Paths!$B$19 &amp; "Bank " &amp; ROUNDDOWN(D59/16,0) &amp; "/Port " &amp; ROUNDDOWN(D59/8,0) &amp; "/Line " &amp;MOD(D59,8) &amp;"/Direction"</f>
        <v>Targets/Controller/Hardware/SLSC/SLSC Chassis/Modules/Slot 8 (SLSC-12201 DIO)/Bank 0/Port 1/Line 1/Direction</v>
      </c>
      <c r="I59" s="33" t="str">
        <f>"IO" &amp; A56</f>
        <v>IO10</v>
      </c>
      <c r="J59" s="104"/>
      <c r="K59" s="145"/>
      <c r="L59" s="129"/>
      <c r="M59" s="132"/>
      <c r="N59" s="135"/>
    </row>
    <row r="60" spans="1:14" x14ac:dyDescent="0.45">
      <c r="A60" s="159"/>
      <c r="B60" s="126"/>
      <c r="C60" s="30" t="str">
        <f>"PXI 10-100-001/SPDT" &amp; D60</f>
        <v>PXI 10-100-001/SPDT10</v>
      </c>
      <c r="D60" s="30">
        <f t="shared" si="16"/>
        <v>10</v>
      </c>
      <c r="E60" s="30" t="str">
        <f t="shared" si="19"/>
        <v>DO (SPDT)</v>
      </c>
      <c r="F60" s="30" t="str">
        <f t="shared" si="19"/>
        <v>Select_DO</v>
      </c>
      <c r="G60" s="3" t="str">
        <f t="shared" si="25"/>
        <v>ATE/IO10/Select_DO</v>
      </c>
      <c r="H60" s="41" t="str">
        <f>Paths!$B$12 &amp; D60</f>
        <v>Targets/Controller/Custom Devices/PickeringSwitching/Subunit1/Switch1_10</v>
      </c>
      <c r="I60" s="33" t="str">
        <f>"IO" &amp; A56</f>
        <v>IO10</v>
      </c>
      <c r="J60" s="104"/>
      <c r="K60" s="145"/>
      <c r="L60" s="129"/>
      <c r="M60" s="132"/>
      <c r="N60" s="135"/>
    </row>
    <row r="61" spans="1:14" ht="14.65" thickBot="1" x14ac:dyDescent="0.5">
      <c r="A61" s="114"/>
      <c r="B61" s="127"/>
      <c r="C61" s="31" t="str">
        <f>"PXI-2510-1/dut" &amp; D61</f>
        <v>PXI-2510-1/dut9</v>
      </c>
      <c r="D61" s="31">
        <f t="shared" si="16"/>
        <v>9</v>
      </c>
      <c r="E61" s="31" t="str">
        <f t="shared" si="19"/>
        <v>FIU</v>
      </c>
      <c r="F61" s="31" t="str">
        <f t="shared" si="19"/>
        <v>TBD</v>
      </c>
      <c r="G61" s="5" t="str">
        <f t="shared" si="25"/>
        <v>None</v>
      </c>
      <c r="H61" s="42" t="s">
        <v>28</v>
      </c>
      <c r="I61" s="34" t="str">
        <f>"IO" &amp; A56</f>
        <v>IO10</v>
      </c>
      <c r="J61" s="105"/>
      <c r="K61" s="146"/>
      <c r="L61" s="130"/>
      <c r="M61" s="133"/>
      <c r="N61" s="136"/>
    </row>
    <row r="62" spans="1:14" ht="15" customHeight="1" x14ac:dyDescent="0.45">
      <c r="A62" s="113">
        <f t="shared" ref="A62" si="26">A56+1</f>
        <v>11</v>
      </c>
      <c r="B62" s="100" t="str">
        <f t="shared" ref="B62" si="27">B56</f>
        <v>AO/DO
AO U: 0-10 V
DO: 0-Vsup</v>
      </c>
      <c r="C62" s="29" t="str">
        <f>"PXIe-6738/AO" &amp; D62</f>
        <v>PXIe-6738/AO10</v>
      </c>
      <c r="D62" s="29">
        <f t="shared" si="16"/>
        <v>10</v>
      </c>
      <c r="E62" s="29" t="str">
        <f t="shared" si="19"/>
        <v>Voltage out 0-10 V</v>
      </c>
      <c r="F62" s="29" t="str">
        <f t="shared" si="19"/>
        <v>AO</v>
      </c>
      <c r="G62" s="29" t="str">
        <f t="shared" ref="G62:G85" si="28">IF(OR(F62="None",F62="TBD"),"None",_xlfn.CONCAT("ATE/",I62,"/",F62))</f>
        <v>ATE/IO11/AO</v>
      </c>
      <c r="H62" s="39" t="str">
        <f>Paths!$B$26 &amp; D62</f>
        <v>Targets/Controller/Hardware/Chassis/DAQ/PXI1Slot15/Analog Output/AO10</v>
      </c>
      <c r="I62" s="32" t="str">
        <f>"IO" &amp; A62</f>
        <v>IO11</v>
      </c>
      <c r="J62" s="103" t="s">
        <v>6</v>
      </c>
      <c r="K62" s="144" t="s">
        <v>7</v>
      </c>
      <c r="L62" s="128"/>
      <c r="M62" s="131"/>
      <c r="N62" s="134"/>
    </row>
    <row r="63" spans="1:14" ht="15" customHeight="1" x14ac:dyDescent="0.45">
      <c r="A63" s="159"/>
      <c r="B63" s="126"/>
      <c r="C63" s="30" t="str">
        <f>"PXIe-7820R/DIO" &amp; D63</f>
        <v>PXIe-7820R/DIO10</v>
      </c>
      <c r="D63" s="30">
        <f t="shared" si="16"/>
        <v>10</v>
      </c>
      <c r="E63" s="30" t="str">
        <f t="shared" si="19"/>
        <v>FPGA DO (PWM Gen.)</v>
      </c>
      <c r="F63" s="30" t="str">
        <f t="shared" si="19"/>
        <v>PWM_FR</v>
      </c>
      <c r="G63" s="30" t="str">
        <f t="shared" si="28"/>
        <v>ATE/IO11/PWM_FR</v>
      </c>
      <c r="H63" s="36" t="str">
        <f>Paths!$B$2 &amp; I63 &amp; Paths!$B$6</f>
        <v>Targets/Controller/Custom Devices/FPGA Addon/Scalars/Scalar Outputs/PWM.Out.IO11/FREQ</v>
      </c>
      <c r="I63" s="33" t="str">
        <f>"IO" &amp; A62</f>
        <v>IO11</v>
      </c>
      <c r="J63" s="104"/>
      <c r="K63" s="145"/>
      <c r="L63" s="129"/>
      <c r="M63" s="132"/>
      <c r="N63" s="135"/>
    </row>
    <row r="64" spans="1:14" x14ac:dyDescent="0.45">
      <c r="A64" s="159"/>
      <c r="B64" s="126"/>
      <c r="C64" s="30" t="str">
        <f>"PXIe-7820R/DIO" &amp; D64</f>
        <v>PXIe-7820R/DIO10</v>
      </c>
      <c r="D64" s="30">
        <f t="shared" si="16"/>
        <v>10</v>
      </c>
      <c r="E64" s="30" t="str">
        <f t="shared" si="19"/>
        <v>FPGA DO (PWM Gen.)</v>
      </c>
      <c r="F64" s="30" t="str">
        <f t="shared" si="19"/>
        <v>PWM_DC</v>
      </c>
      <c r="G64" s="30" t="str">
        <f t="shared" si="28"/>
        <v>ATE/IO11/PWM_DC</v>
      </c>
      <c r="H64" s="36" t="str">
        <f>Paths!$B$2 &amp; I64 &amp; Paths!$B$7</f>
        <v>Targets/Controller/Custom Devices/FPGA Addon/Scalars/Scalar Outputs/PWM.Out.IO11/DC</v>
      </c>
      <c r="I64" s="33" t="str">
        <f>"IO" &amp; A62</f>
        <v>IO11</v>
      </c>
      <c r="J64" s="104"/>
      <c r="K64" s="145"/>
      <c r="L64" s="129"/>
      <c r="M64" s="132"/>
      <c r="N64" s="135"/>
    </row>
    <row r="65" spans="1:14" x14ac:dyDescent="0.45">
      <c r="A65" s="159"/>
      <c r="B65" s="126"/>
      <c r="C65" s="30" t="str">
        <f>"SLSC-12201-1/P" &amp; ROUNDDOWN(D65/8,0) &amp; "." &amp; MOD(D65,8)</f>
        <v>SLSC-12201-1/P1.2</v>
      </c>
      <c r="D65" s="30">
        <f t="shared" si="16"/>
        <v>10</v>
      </c>
      <c r="E65" s="30" t="str">
        <f t="shared" si="19"/>
        <v>Output Push-Pull</v>
      </c>
      <c r="F65" s="30" t="str">
        <f t="shared" si="19"/>
        <v>None</v>
      </c>
      <c r="G65" s="30" t="str">
        <f t="shared" si="28"/>
        <v>None</v>
      </c>
      <c r="H65" s="36" t="str">
        <f>Paths!$B$19 &amp; "Bank " &amp; ROUNDDOWN(D65/16,0) &amp; "/Port " &amp; ROUNDDOWN(D65/8,0) &amp; "/Line " &amp;MOD(D65,8) &amp;"/Direction"</f>
        <v>Targets/Controller/Hardware/SLSC/SLSC Chassis/Modules/Slot 8 (SLSC-12201 DIO)/Bank 0/Port 1/Line 2/Direction</v>
      </c>
      <c r="I65" s="33" t="str">
        <f>"IO" &amp; A62</f>
        <v>IO11</v>
      </c>
      <c r="J65" s="104"/>
      <c r="K65" s="145"/>
      <c r="L65" s="129"/>
      <c r="M65" s="132"/>
      <c r="N65" s="135"/>
    </row>
    <row r="66" spans="1:14" x14ac:dyDescent="0.45">
      <c r="A66" s="159"/>
      <c r="B66" s="126"/>
      <c r="C66" s="30" t="str">
        <f>"PXI 10-100-001/SPDT" &amp; D66</f>
        <v>PXI 10-100-001/SPDT11</v>
      </c>
      <c r="D66" s="30">
        <f t="shared" si="16"/>
        <v>11</v>
      </c>
      <c r="E66" s="30" t="str">
        <f t="shared" si="19"/>
        <v>DO (SPDT)</v>
      </c>
      <c r="F66" s="30" t="str">
        <f t="shared" si="19"/>
        <v>Select_DO</v>
      </c>
      <c r="G66" s="3" t="str">
        <f t="shared" si="28"/>
        <v>ATE/IO11/Select_DO</v>
      </c>
      <c r="H66" s="41" t="str">
        <f>Paths!$B$12 &amp; D66</f>
        <v>Targets/Controller/Custom Devices/PickeringSwitching/Subunit1/Switch1_11</v>
      </c>
      <c r="I66" s="33" t="str">
        <f>"IO" &amp; A62</f>
        <v>IO11</v>
      </c>
      <c r="J66" s="104"/>
      <c r="K66" s="145"/>
      <c r="L66" s="129"/>
      <c r="M66" s="132"/>
      <c r="N66" s="135"/>
    </row>
    <row r="67" spans="1:14" ht="14.65" thickBot="1" x14ac:dyDescent="0.5">
      <c r="A67" s="114"/>
      <c r="B67" s="127"/>
      <c r="C67" s="31" t="str">
        <f>"PXI-2510-1/dut" &amp; D67</f>
        <v>PXI-2510-1/dut10</v>
      </c>
      <c r="D67" s="31">
        <f t="shared" si="16"/>
        <v>10</v>
      </c>
      <c r="E67" s="31" t="str">
        <f t="shared" si="19"/>
        <v>FIU</v>
      </c>
      <c r="F67" s="31" t="str">
        <f t="shared" si="19"/>
        <v>TBD</v>
      </c>
      <c r="G67" s="5" t="str">
        <f t="shared" si="28"/>
        <v>None</v>
      </c>
      <c r="H67" s="42" t="s">
        <v>28</v>
      </c>
      <c r="I67" s="34" t="str">
        <f>"IO" &amp; A62</f>
        <v>IO11</v>
      </c>
      <c r="J67" s="105"/>
      <c r="K67" s="146"/>
      <c r="L67" s="130"/>
      <c r="M67" s="133"/>
      <c r="N67" s="136"/>
    </row>
    <row r="68" spans="1:14" ht="15" customHeight="1" x14ac:dyDescent="0.45">
      <c r="A68" s="113">
        <f t="shared" ref="A68" si="29">A62+1</f>
        <v>12</v>
      </c>
      <c r="B68" s="100" t="str">
        <f>B62</f>
        <v>AO/DO
AO U: 0-10 V
DO: 0-Vsup</v>
      </c>
      <c r="C68" s="29" t="str">
        <f>"PXIe-6738/AO" &amp; D68</f>
        <v>PXIe-6738/AO11</v>
      </c>
      <c r="D68" s="29">
        <f t="shared" si="16"/>
        <v>11</v>
      </c>
      <c r="E68" s="29" t="str">
        <f t="shared" ref="E68:F87" si="30">E62</f>
        <v>Voltage out 0-10 V</v>
      </c>
      <c r="F68" s="29" t="str">
        <f t="shared" si="30"/>
        <v>AO</v>
      </c>
      <c r="G68" s="29" t="str">
        <f t="shared" si="28"/>
        <v>ATE/IO12/AO</v>
      </c>
      <c r="H68" s="39" t="str">
        <f>Paths!$B$26 &amp; D68</f>
        <v>Targets/Controller/Hardware/Chassis/DAQ/PXI1Slot15/Analog Output/AO11</v>
      </c>
      <c r="I68" s="32" t="str">
        <f>"IO" &amp; A68</f>
        <v>IO12</v>
      </c>
      <c r="J68" s="103" t="s">
        <v>6</v>
      </c>
      <c r="K68" s="144" t="s">
        <v>7</v>
      </c>
      <c r="L68" s="128"/>
      <c r="M68" s="131"/>
      <c r="N68" s="134"/>
    </row>
    <row r="69" spans="1:14" ht="15" customHeight="1" x14ac:dyDescent="0.45">
      <c r="A69" s="159"/>
      <c r="B69" s="126"/>
      <c r="C69" s="30" t="str">
        <f>"PXIe-7820R/DIO" &amp; D69</f>
        <v>PXIe-7820R/DIO11</v>
      </c>
      <c r="D69" s="30">
        <f t="shared" si="16"/>
        <v>11</v>
      </c>
      <c r="E69" s="30" t="str">
        <f t="shared" si="30"/>
        <v>FPGA DO (PWM Gen.)</v>
      </c>
      <c r="F69" s="30" t="str">
        <f t="shared" si="30"/>
        <v>PWM_FR</v>
      </c>
      <c r="G69" s="30" t="str">
        <f t="shared" si="28"/>
        <v>ATE/IO12/PWM_FR</v>
      </c>
      <c r="H69" s="36" t="str">
        <f>Paths!$B$2 &amp; I69 &amp; Paths!$B$6</f>
        <v>Targets/Controller/Custom Devices/FPGA Addon/Scalars/Scalar Outputs/PWM.Out.IO12/FREQ</v>
      </c>
      <c r="I69" s="33" t="str">
        <f>"IO" &amp; A68</f>
        <v>IO12</v>
      </c>
      <c r="J69" s="104"/>
      <c r="K69" s="145"/>
      <c r="L69" s="129"/>
      <c r="M69" s="132"/>
      <c r="N69" s="135"/>
    </row>
    <row r="70" spans="1:14" x14ac:dyDescent="0.45">
      <c r="A70" s="159"/>
      <c r="B70" s="126"/>
      <c r="C70" s="30" t="str">
        <f>"PXIe-7820R/DIO" &amp; D70</f>
        <v>PXIe-7820R/DIO11</v>
      </c>
      <c r="D70" s="30">
        <f t="shared" si="16"/>
        <v>11</v>
      </c>
      <c r="E70" s="30" t="str">
        <f t="shared" si="30"/>
        <v>FPGA DO (PWM Gen.)</v>
      </c>
      <c r="F70" s="30" t="str">
        <f t="shared" si="30"/>
        <v>PWM_DC</v>
      </c>
      <c r="G70" s="30" t="str">
        <f t="shared" si="28"/>
        <v>ATE/IO12/PWM_DC</v>
      </c>
      <c r="H70" s="36" t="str">
        <f>Paths!$B$2 &amp; I70 &amp; Paths!$B$7</f>
        <v>Targets/Controller/Custom Devices/FPGA Addon/Scalars/Scalar Outputs/PWM.Out.IO12/DC</v>
      </c>
      <c r="I70" s="33" t="str">
        <f>"IO" &amp; A68</f>
        <v>IO12</v>
      </c>
      <c r="J70" s="104"/>
      <c r="K70" s="145"/>
      <c r="L70" s="129"/>
      <c r="M70" s="132"/>
      <c r="N70" s="135"/>
    </row>
    <row r="71" spans="1:14" x14ac:dyDescent="0.45">
      <c r="A71" s="159"/>
      <c r="B71" s="126"/>
      <c r="C71" s="30" t="str">
        <f>"SLSC-12201-1/P" &amp; ROUNDDOWN(D71/8,0) &amp; "." &amp; MOD(D71,8)</f>
        <v>SLSC-12201-1/P1.3</v>
      </c>
      <c r="D71" s="30">
        <f t="shared" si="16"/>
        <v>11</v>
      </c>
      <c r="E71" s="30" t="str">
        <f t="shared" si="30"/>
        <v>Output Push-Pull</v>
      </c>
      <c r="F71" s="30" t="str">
        <f t="shared" si="30"/>
        <v>None</v>
      </c>
      <c r="G71" s="30" t="str">
        <f t="shared" si="28"/>
        <v>None</v>
      </c>
      <c r="H71" s="36" t="str">
        <f>Paths!$B$19 &amp; "Bank " &amp; ROUNDDOWN(D71/16,0) &amp; "/Port " &amp; ROUNDDOWN(D71/8,0) &amp; "/Line " &amp;MOD(D71,8) &amp;"/Direction"</f>
        <v>Targets/Controller/Hardware/SLSC/SLSC Chassis/Modules/Slot 8 (SLSC-12201 DIO)/Bank 0/Port 1/Line 3/Direction</v>
      </c>
      <c r="I71" s="33" t="str">
        <f>"IO" &amp; A68</f>
        <v>IO12</v>
      </c>
      <c r="J71" s="104"/>
      <c r="K71" s="145"/>
      <c r="L71" s="129"/>
      <c r="M71" s="132"/>
      <c r="N71" s="135"/>
    </row>
    <row r="72" spans="1:14" x14ac:dyDescent="0.45">
      <c r="A72" s="159"/>
      <c r="B72" s="126"/>
      <c r="C72" s="30" t="str">
        <f>"PXI 10-100-001/SPDT" &amp; D72</f>
        <v>PXI 10-100-001/SPDT12</v>
      </c>
      <c r="D72" s="30">
        <f t="shared" ref="D72:D97" si="31">D66+1</f>
        <v>12</v>
      </c>
      <c r="E72" s="30" t="str">
        <f t="shared" si="30"/>
        <v>DO (SPDT)</v>
      </c>
      <c r="F72" s="30" t="str">
        <f t="shared" si="30"/>
        <v>Select_DO</v>
      </c>
      <c r="G72" s="3" t="str">
        <f t="shared" si="28"/>
        <v>ATE/IO12/Select_DO</v>
      </c>
      <c r="H72" s="41" t="str">
        <f>Paths!$B$12 &amp; D72</f>
        <v>Targets/Controller/Custom Devices/PickeringSwitching/Subunit1/Switch1_12</v>
      </c>
      <c r="I72" s="33" t="str">
        <f>"IO" &amp; A68</f>
        <v>IO12</v>
      </c>
      <c r="J72" s="104"/>
      <c r="K72" s="145"/>
      <c r="L72" s="129"/>
      <c r="M72" s="132"/>
      <c r="N72" s="135"/>
    </row>
    <row r="73" spans="1:14" ht="14.65" thickBot="1" x14ac:dyDescent="0.5">
      <c r="A73" s="114"/>
      <c r="B73" s="127"/>
      <c r="C73" s="31" t="str">
        <f>"PXI-2510-1/dut" &amp; D73</f>
        <v>PXI-2510-1/dut11</v>
      </c>
      <c r="D73" s="31">
        <f t="shared" si="31"/>
        <v>11</v>
      </c>
      <c r="E73" s="31" t="str">
        <f t="shared" si="30"/>
        <v>FIU</v>
      </c>
      <c r="F73" s="31" t="str">
        <f t="shared" si="30"/>
        <v>TBD</v>
      </c>
      <c r="G73" s="5" t="str">
        <f t="shared" si="28"/>
        <v>None</v>
      </c>
      <c r="H73" s="42" t="s">
        <v>28</v>
      </c>
      <c r="I73" s="34" t="str">
        <f>"IO" &amp; A68</f>
        <v>IO12</v>
      </c>
      <c r="J73" s="105"/>
      <c r="K73" s="146"/>
      <c r="L73" s="130"/>
      <c r="M73" s="133"/>
      <c r="N73" s="136"/>
    </row>
    <row r="74" spans="1:14" ht="15" customHeight="1" x14ac:dyDescent="0.45">
      <c r="A74" s="113">
        <f t="shared" ref="A74" si="32">A68+1</f>
        <v>13</v>
      </c>
      <c r="B74" s="100" t="str">
        <f t="shared" ref="B74" si="33">B68</f>
        <v>AO/DO
AO U: 0-10 V
DO: 0-Vsup</v>
      </c>
      <c r="C74" s="29" t="str">
        <f>"PXIe-6738/AO" &amp; D74</f>
        <v>PXIe-6738/AO12</v>
      </c>
      <c r="D74" s="29">
        <f t="shared" si="31"/>
        <v>12</v>
      </c>
      <c r="E74" s="29" t="str">
        <f t="shared" si="30"/>
        <v>Voltage out 0-10 V</v>
      </c>
      <c r="F74" s="29" t="str">
        <f t="shared" si="30"/>
        <v>AO</v>
      </c>
      <c r="G74" s="29" t="str">
        <f t="shared" si="28"/>
        <v>ATE/IO13/AO</v>
      </c>
      <c r="H74" s="39" t="str">
        <f>Paths!$B$26 &amp; D74</f>
        <v>Targets/Controller/Hardware/Chassis/DAQ/PXI1Slot15/Analog Output/AO12</v>
      </c>
      <c r="I74" s="32" t="str">
        <f>"IO" &amp; A74</f>
        <v>IO13</v>
      </c>
      <c r="J74" s="103" t="s">
        <v>6</v>
      </c>
      <c r="K74" s="144" t="s">
        <v>7</v>
      </c>
      <c r="L74" s="128"/>
      <c r="M74" s="131"/>
      <c r="N74" s="134"/>
    </row>
    <row r="75" spans="1:14" ht="15" customHeight="1" x14ac:dyDescent="0.45">
      <c r="A75" s="159"/>
      <c r="B75" s="126"/>
      <c r="C75" s="30" t="str">
        <f>"PXIe-7820R/DIO" &amp; D75</f>
        <v>PXIe-7820R/DIO12</v>
      </c>
      <c r="D75" s="30">
        <f t="shared" si="31"/>
        <v>12</v>
      </c>
      <c r="E75" s="30" t="str">
        <f t="shared" si="30"/>
        <v>FPGA DO (PWM Gen.)</v>
      </c>
      <c r="F75" s="30" t="str">
        <f t="shared" si="30"/>
        <v>PWM_FR</v>
      </c>
      <c r="G75" s="30" t="str">
        <f t="shared" si="28"/>
        <v>ATE/IO13/PWM_FR</v>
      </c>
      <c r="H75" s="36" t="str">
        <f>Paths!$B$2 &amp; I75 &amp; Paths!$B$6</f>
        <v>Targets/Controller/Custom Devices/FPGA Addon/Scalars/Scalar Outputs/PWM.Out.IO13/FREQ</v>
      </c>
      <c r="I75" s="33" t="str">
        <f>"IO" &amp; A74</f>
        <v>IO13</v>
      </c>
      <c r="J75" s="104"/>
      <c r="K75" s="145"/>
      <c r="L75" s="129"/>
      <c r="M75" s="132"/>
      <c r="N75" s="135"/>
    </row>
    <row r="76" spans="1:14" x14ac:dyDescent="0.45">
      <c r="A76" s="159"/>
      <c r="B76" s="126"/>
      <c r="C76" s="30" t="str">
        <f>"PXIe-7820R/DIO" &amp; D76</f>
        <v>PXIe-7820R/DIO12</v>
      </c>
      <c r="D76" s="30">
        <f t="shared" si="31"/>
        <v>12</v>
      </c>
      <c r="E76" s="30" t="str">
        <f t="shared" si="30"/>
        <v>FPGA DO (PWM Gen.)</v>
      </c>
      <c r="F76" s="30" t="str">
        <f t="shared" si="30"/>
        <v>PWM_DC</v>
      </c>
      <c r="G76" s="30" t="str">
        <f t="shared" si="28"/>
        <v>ATE/IO13/PWM_DC</v>
      </c>
      <c r="H76" s="36" t="str">
        <f>Paths!$B$2 &amp; I76 &amp; Paths!$B$7</f>
        <v>Targets/Controller/Custom Devices/FPGA Addon/Scalars/Scalar Outputs/PWM.Out.IO13/DC</v>
      </c>
      <c r="I76" s="33" t="str">
        <f>"IO" &amp; A74</f>
        <v>IO13</v>
      </c>
      <c r="J76" s="104"/>
      <c r="K76" s="145"/>
      <c r="L76" s="129"/>
      <c r="M76" s="132"/>
      <c r="N76" s="135"/>
    </row>
    <row r="77" spans="1:14" x14ac:dyDescent="0.45">
      <c r="A77" s="159"/>
      <c r="B77" s="126"/>
      <c r="C77" s="30" t="str">
        <f>"SLSC-12201-1/P" &amp; ROUNDDOWN(D77/8,0) &amp; "." &amp; MOD(D77,8)</f>
        <v>SLSC-12201-1/P1.4</v>
      </c>
      <c r="D77" s="30">
        <f t="shared" si="31"/>
        <v>12</v>
      </c>
      <c r="E77" s="30" t="str">
        <f t="shared" si="30"/>
        <v>Output Push-Pull</v>
      </c>
      <c r="F77" s="30" t="str">
        <f t="shared" si="30"/>
        <v>None</v>
      </c>
      <c r="G77" s="30" t="str">
        <f t="shared" si="28"/>
        <v>None</v>
      </c>
      <c r="H77" s="36" t="str">
        <f>Paths!$B$19 &amp; "Bank " &amp; ROUNDDOWN(D77/16,0) &amp; "/Port " &amp; ROUNDDOWN(D77/8,0) &amp; "/Line " &amp;MOD(D77,8) &amp;"/Direction"</f>
        <v>Targets/Controller/Hardware/SLSC/SLSC Chassis/Modules/Slot 8 (SLSC-12201 DIO)/Bank 0/Port 1/Line 4/Direction</v>
      </c>
      <c r="I77" s="33" t="str">
        <f>"IO" &amp; A74</f>
        <v>IO13</v>
      </c>
      <c r="J77" s="104"/>
      <c r="K77" s="145"/>
      <c r="L77" s="129"/>
      <c r="M77" s="132"/>
      <c r="N77" s="135"/>
    </row>
    <row r="78" spans="1:14" x14ac:dyDescent="0.45">
      <c r="A78" s="159"/>
      <c r="B78" s="126"/>
      <c r="C78" s="30" t="str">
        <f>"PXI 10-100-001/SPDT" &amp; D78</f>
        <v>PXI 10-100-001/SPDT13</v>
      </c>
      <c r="D78" s="30">
        <f t="shared" si="31"/>
        <v>13</v>
      </c>
      <c r="E78" s="30" t="str">
        <f t="shared" si="30"/>
        <v>DO (SPDT)</v>
      </c>
      <c r="F78" s="30" t="str">
        <f t="shared" si="30"/>
        <v>Select_DO</v>
      </c>
      <c r="G78" s="3" t="str">
        <f t="shared" si="28"/>
        <v>ATE/IO13/Select_DO</v>
      </c>
      <c r="H78" s="41" t="str">
        <f>Paths!$B$12 &amp; D78</f>
        <v>Targets/Controller/Custom Devices/PickeringSwitching/Subunit1/Switch1_13</v>
      </c>
      <c r="I78" s="33" t="str">
        <f>"IO" &amp; A74</f>
        <v>IO13</v>
      </c>
      <c r="J78" s="104"/>
      <c r="K78" s="145"/>
      <c r="L78" s="129"/>
      <c r="M78" s="132"/>
      <c r="N78" s="135"/>
    </row>
    <row r="79" spans="1:14" ht="14.65" thickBot="1" x14ac:dyDescent="0.5">
      <c r="A79" s="114"/>
      <c r="B79" s="127"/>
      <c r="C79" s="31" t="str">
        <f>"PXI-2510-1/dut" &amp; D79</f>
        <v>PXI-2510-1/dut12</v>
      </c>
      <c r="D79" s="31">
        <f t="shared" si="31"/>
        <v>12</v>
      </c>
      <c r="E79" s="31" t="str">
        <f t="shared" si="30"/>
        <v>FIU</v>
      </c>
      <c r="F79" s="31" t="str">
        <f t="shared" si="30"/>
        <v>TBD</v>
      </c>
      <c r="G79" s="5" t="str">
        <f t="shared" si="28"/>
        <v>None</v>
      </c>
      <c r="H79" s="42" t="s">
        <v>28</v>
      </c>
      <c r="I79" s="34" t="str">
        <f>"IO" &amp; A74</f>
        <v>IO13</v>
      </c>
      <c r="J79" s="105"/>
      <c r="K79" s="146"/>
      <c r="L79" s="130"/>
      <c r="M79" s="133"/>
      <c r="N79" s="136"/>
    </row>
    <row r="80" spans="1:14" ht="15" customHeight="1" x14ac:dyDescent="0.45">
      <c r="A80" s="113">
        <f t="shared" ref="A80" si="34">A74+1</f>
        <v>14</v>
      </c>
      <c r="B80" s="100" t="str">
        <f t="shared" ref="B80" si="35">B74</f>
        <v>AO/DO
AO U: 0-10 V
DO: 0-Vsup</v>
      </c>
      <c r="C80" s="29" t="str">
        <f>"PXIe-6738/AO" &amp; D80</f>
        <v>PXIe-6738/AO13</v>
      </c>
      <c r="D80" s="29">
        <f t="shared" si="31"/>
        <v>13</v>
      </c>
      <c r="E80" s="29" t="str">
        <f t="shared" si="30"/>
        <v>Voltage out 0-10 V</v>
      </c>
      <c r="F80" s="29" t="str">
        <f t="shared" si="30"/>
        <v>AO</v>
      </c>
      <c r="G80" s="29" t="str">
        <f t="shared" si="28"/>
        <v>ATE/IO14/AO</v>
      </c>
      <c r="H80" s="39" t="str">
        <f>Paths!$B$26 &amp; D80</f>
        <v>Targets/Controller/Hardware/Chassis/DAQ/PXI1Slot15/Analog Output/AO13</v>
      </c>
      <c r="I80" s="32" t="str">
        <f>"IO" &amp; A80</f>
        <v>IO14</v>
      </c>
      <c r="J80" s="103" t="s">
        <v>6</v>
      </c>
      <c r="K80" s="144" t="s">
        <v>7</v>
      </c>
      <c r="L80" s="128"/>
      <c r="M80" s="131"/>
      <c r="N80" s="134"/>
    </row>
    <row r="81" spans="1:14" ht="15" customHeight="1" x14ac:dyDescent="0.45">
      <c r="A81" s="159"/>
      <c r="B81" s="126"/>
      <c r="C81" s="30" t="str">
        <f>"PXIe-7820R/DIO" &amp; D81</f>
        <v>PXIe-7820R/DIO13</v>
      </c>
      <c r="D81" s="30">
        <f t="shared" si="31"/>
        <v>13</v>
      </c>
      <c r="E81" s="30" t="str">
        <f t="shared" si="30"/>
        <v>FPGA DO (PWM Gen.)</v>
      </c>
      <c r="F81" s="30" t="str">
        <f t="shared" si="30"/>
        <v>PWM_FR</v>
      </c>
      <c r="G81" s="30" t="str">
        <f t="shared" si="28"/>
        <v>ATE/IO14/PWM_FR</v>
      </c>
      <c r="H81" s="36" t="str">
        <f>Paths!$B$2 &amp; I81 &amp; Paths!$B$6</f>
        <v>Targets/Controller/Custom Devices/FPGA Addon/Scalars/Scalar Outputs/PWM.Out.IO14/FREQ</v>
      </c>
      <c r="I81" s="33" t="str">
        <f>"IO" &amp; A80</f>
        <v>IO14</v>
      </c>
      <c r="J81" s="104"/>
      <c r="K81" s="145"/>
      <c r="L81" s="129"/>
      <c r="M81" s="132"/>
      <c r="N81" s="135"/>
    </row>
    <row r="82" spans="1:14" x14ac:dyDescent="0.45">
      <c r="A82" s="159"/>
      <c r="B82" s="126"/>
      <c r="C82" s="30" t="str">
        <f>"PXIe-7820R/DIO" &amp; D82</f>
        <v>PXIe-7820R/DIO13</v>
      </c>
      <c r="D82" s="30">
        <f t="shared" si="31"/>
        <v>13</v>
      </c>
      <c r="E82" s="30" t="str">
        <f t="shared" si="30"/>
        <v>FPGA DO (PWM Gen.)</v>
      </c>
      <c r="F82" s="30" t="str">
        <f t="shared" si="30"/>
        <v>PWM_DC</v>
      </c>
      <c r="G82" s="30" t="str">
        <f t="shared" si="28"/>
        <v>ATE/IO14/PWM_DC</v>
      </c>
      <c r="H82" s="36" t="str">
        <f>Paths!$B$2 &amp; I82 &amp; Paths!$B$7</f>
        <v>Targets/Controller/Custom Devices/FPGA Addon/Scalars/Scalar Outputs/PWM.Out.IO14/DC</v>
      </c>
      <c r="I82" s="33" t="str">
        <f>"IO" &amp; A80</f>
        <v>IO14</v>
      </c>
      <c r="J82" s="104"/>
      <c r="K82" s="145"/>
      <c r="L82" s="129"/>
      <c r="M82" s="132"/>
      <c r="N82" s="135"/>
    </row>
    <row r="83" spans="1:14" x14ac:dyDescent="0.45">
      <c r="A83" s="159"/>
      <c r="B83" s="126"/>
      <c r="C83" s="30" t="str">
        <f>"SLSC-12201-1/P" &amp; ROUNDDOWN(D83/8,0) &amp; "." &amp; MOD(D83,8)</f>
        <v>SLSC-12201-1/P1.5</v>
      </c>
      <c r="D83" s="30">
        <f t="shared" si="31"/>
        <v>13</v>
      </c>
      <c r="E83" s="30" t="str">
        <f t="shared" si="30"/>
        <v>Output Push-Pull</v>
      </c>
      <c r="F83" s="30" t="str">
        <f t="shared" si="30"/>
        <v>None</v>
      </c>
      <c r="G83" s="30" t="str">
        <f t="shared" si="28"/>
        <v>None</v>
      </c>
      <c r="H83" s="36" t="str">
        <f>Paths!$B$19 &amp; "Bank " &amp; ROUNDDOWN(D83/16,0) &amp; "/Port " &amp; ROUNDDOWN(D83/8,0) &amp; "/Line " &amp;MOD(D83,8) &amp;"/Direction"</f>
        <v>Targets/Controller/Hardware/SLSC/SLSC Chassis/Modules/Slot 8 (SLSC-12201 DIO)/Bank 0/Port 1/Line 5/Direction</v>
      </c>
      <c r="I83" s="33" t="str">
        <f>"IO" &amp; A80</f>
        <v>IO14</v>
      </c>
      <c r="J83" s="104"/>
      <c r="K83" s="145"/>
      <c r="L83" s="129"/>
      <c r="M83" s="132"/>
      <c r="N83" s="135"/>
    </row>
    <row r="84" spans="1:14" x14ac:dyDescent="0.45">
      <c r="A84" s="159"/>
      <c r="B84" s="126"/>
      <c r="C84" s="30" t="str">
        <f>"PXI 10-100-001/SPDT" &amp; D84</f>
        <v>PXI 10-100-001/SPDT14</v>
      </c>
      <c r="D84" s="30">
        <f t="shared" si="31"/>
        <v>14</v>
      </c>
      <c r="E84" s="30" t="str">
        <f t="shared" si="30"/>
        <v>DO (SPDT)</v>
      </c>
      <c r="F84" s="30" t="str">
        <f t="shared" si="30"/>
        <v>Select_DO</v>
      </c>
      <c r="G84" s="3" t="str">
        <f t="shared" si="28"/>
        <v>ATE/IO14/Select_DO</v>
      </c>
      <c r="H84" s="41" t="str">
        <f>Paths!$B$12 &amp; D84</f>
        <v>Targets/Controller/Custom Devices/PickeringSwitching/Subunit1/Switch1_14</v>
      </c>
      <c r="I84" s="33" t="str">
        <f>"IO" &amp; A80</f>
        <v>IO14</v>
      </c>
      <c r="J84" s="104"/>
      <c r="K84" s="145"/>
      <c r="L84" s="129"/>
      <c r="M84" s="132"/>
      <c r="N84" s="135"/>
    </row>
    <row r="85" spans="1:14" ht="14.65" thickBot="1" x14ac:dyDescent="0.5">
      <c r="A85" s="114"/>
      <c r="B85" s="127"/>
      <c r="C85" s="31" t="str">
        <f>"PXI-2510-1/dut" &amp; D85</f>
        <v>PXI-2510-1/dut13</v>
      </c>
      <c r="D85" s="31">
        <f t="shared" si="31"/>
        <v>13</v>
      </c>
      <c r="E85" s="31" t="str">
        <f t="shared" si="30"/>
        <v>FIU</v>
      </c>
      <c r="F85" s="31" t="str">
        <f t="shared" si="30"/>
        <v>TBD</v>
      </c>
      <c r="G85" s="5" t="str">
        <f t="shared" si="28"/>
        <v>None</v>
      </c>
      <c r="H85" s="42" t="s">
        <v>28</v>
      </c>
      <c r="I85" s="34" t="str">
        <f>"IO" &amp; A80</f>
        <v>IO14</v>
      </c>
      <c r="J85" s="105"/>
      <c r="K85" s="146"/>
      <c r="L85" s="130"/>
      <c r="M85" s="133"/>
      <c r="N85" s="136"/>
    </row>
    <row r="86" spans="1:14" ht="15" customHeight="1" x14ac:dyDescent="0.45">
      <c r="A86" s="113">
        <f t="shared" ref="A86" si="36">A80+1</f>
        <v>15</v>
      </c>
      <c r="B86" s="100" t="str">
        <f t="shared" ref="B86" si="37">B80</f>
        <v>AO/DO
AO U: 0-10 V
DO: 0-Vsup</v>
      </c>
      <c r="C86" s="29" t="str">
        <f>"PXIe-6738/AO" &amp; D86</f>
        <v>PXIe-6738/AO14</v>
      </c>
      <c r="D86" s="29">
        <f t="shared" si="31"/>
        <v>14</v>
      </c>
      <c r="E86" s="29" t="str">
        <f t="shared" si="30"/>
        <v>Voltage out 0-10 V</v>
      </c>
      <c r="F86" s="29" t="str">
        <f t="shared" si="30"/>
        <v>AO</v>
      </c>
      <c r="G86" s="29" t="str">
        <f t="shared" ref="G86:G91" si="38">IF(OR(F86="None",F86="TBD"),"None",_xlfn.CONCAT("ATE/",I86,"/",F86))</f>
        <v>ATE/IO15/AO</v>
      </c>
      <c r="H86" s="39" t="str">
        <f>Paths!$B$26 &amp; D86</f>
        <v>Targets/Controller/Hardware/Chassis/DAQ/PXI1Slot15/Analog Output/AO14</v>
      </c>
      <c r="I86" s="32" t="str">
        <f>"IO" &amp; A86</f>
        <v>IO15</v>
      </c>
      <c r="J86" s="103" t="s">
        <v>6</v>
      </c>
      <c r="K86" s="144" t="s">
        <v>7</v>
      </c>
      <c r="L86" s="128"/>
      <c r="M86" s="131"/>
      <c r="N86" s="134"/>
    </row>
    <row r="87" spans="1:14" ht="15" customHeight="1" x14ac:dyDescent="0.45">
      <c r="A87" s="159"/>
      <c r="B87" s="126"/>
      <c r="C87" s="30" t="str">
        <f>"PXIe-7820R/DIO" &amp; D87</f>
        <v>PXIe-7820R/DIO14</v>
      </c>
      <c r="D87" s="30">
        <f t="shared" si="31"/>
        <v>14</v>
      </c>
      <c r="E87" s="30" t="str">
        <f t="shared" si="30"/>
        <v>FPGA DO (PWM Gen.)</v>
      </c>
      <c r="F87" s="30" t="str">
        <f t="shared" si="30"/>
        <v>PWM_FR</v>
      </c>
      <c r="G87" s="30" t="str">
        <f t="shared" si="38"/>
        <v>ATE/IO15/PWM_FR</v>
      </c>
      <c r="H87" s="36" t="str">
        <f>Paths!$B$2 &amp; I87 &amp; Paths!$B$6</f>
        <v>Targets/Controller/Custom Devices/FPGA Addon/Scalars/Scalar Outputs/PWM.Out.IO15/FREQ</v>
      </c>
      <c r="I87" s="33" t="str">
        <f>"IO" &amp; A86</f>
        <v>IO15</v>
      </c>
      <c r="J87" s="104"/>
      <c r="K87" s="145"/>
      <c r="L87" s="129"/>
      <c r="M87" s="132"/>
      <c r="N87" s="135"/>
    </row>
    <row r="88" spans="1:14" x14ac:dyDescent="0.45">
      <c r="A88" s="159"/>
      <c r="B88" s="126"/>
      <c r="C88" s="30" t="str">
        <f>"PXIe-7820R/DIO" &amp; D88</f>
        <v>PXIe-7820R/DIO14</v>
      </c>
      <c r="D88" s="30">
        <f t="shared" si="31"/>
        <v>14</v>
      </c>
      <c r="E88" s="30" t="str">
        <f t="shared" ref="E88:F97" si="39">E82</f>
        <v>FPGA DO (PWM Gen.)</v>
      </c>
      <c r="F88" s="30" t="str">
        <f t="shared" si="39"/>
        <v>PWM_DC</v>
      </c>
      <c r="G88" s="30" t="str">
        <f t="shared" si="38"/>
        <v>ATE/IO15/PWM_DC</v>
      </c>
      <c r="H88" s="36" t="str">
        <f>Paths!$B$2 &amp; I88 &amp; Paths!$B$7</f>
        <v>Targets/Controller/Custom Devices/FPGA Addon/Scalars/Scalar Outputs/PWM.Out.IO15/DC</v>
      </c>
      <c r="I88" s="33" t="str">
        <f>"IO" &amp; A86</f>
        <v>IO15</v>
      </c>
      <c r="J88" s="104"/>
      <c r="K88" s="145"/>
      <c r="L88" s="129"/>
      <c r="M88" s="132"/>
      <c r="N88" s="135"/>
    </row>
    <row r="89" spans="1:14" x14ac:dyDescent="0.45">
      <c r="A89" s="159"/>
      <c r="B89" s="126"/>
      <c r="C89" s="30" t="str">
        <f>"SLSC-12201-1/P" &amp; ROUNDDOWN(D89/8,0) &amp; "." &amp; MOD(D89,8)</f>
        <v>SLSC-12201-1/P1.6</v>
      </c>
      <c r="D89" s="30">
        <f t="shared" si="31"/>
        <v>14</v>
      </c>
      <c r="E89" s="30" t="str">
        <f t="shared" si="39"/>
        <v>Output Push-Pull</v>
      </c>
      <c r="F89" s="30" t="str">
        <f t="shared" si="39"/>
        <v>None</v>
      </c>
      <c r="G89" s="30" t="str">
        <f t="shared" si="38"/>
        <v>None</v>
      </c>
      <c r="H89" s="36" t="str">
        <f>Paths!$B$19 &amp; "Bank " &amp; ROUNDDOWN(D89/16,0) &amp; "/Port " &amp; ROUNDDOWN(D89/8,0) &amp; "/Line " &amp;MOD(D89,8) &amp;"/Direction"</f>
        <v>Targets/Controller/Hardware/SLSC/SLSC Chassis/Modules/Slot 8 (SLSC-12201 DIO)/Bank 0/Port 1/Line 6/Direction</v>
      </c>
      <c r="I89" s="33" t="str">
        <f>"IO" &amp; A86</f>
        <v>IO15</v>
      </c>
      <c r="J89" s="104"/>
      <c r="K89" s="145"/>
      <c r="L89" s="129"/>
      <c r="M89" s="132"/>
      <c r="N89" s="135"/>
    </row>
    <row r="90" spans="1:14" x14ac:dyDescent="0.45">
      <c r="A90" s="159"/>
      <c r="B90" s="126"/>
      <c r="C90" s="30" t="str">
        <f>"PXI 10-100-001/SPDT" &amp; D90</f>
        <v>PXI 10-100-001/SPDT15</v>
      </c>
      <c r="D90" s="30">
        <f t="shared" si="31"/>
        <v>15</v>
      </c>
      <c r="E90" s="30" t="str">
        <f t="shared" si="39"/>
        <v>DO (SPDT)</v>
      </c>
      <c r="F90" s="30" t="str">
        <f t="shared" si="39"/>
        <v>Select_DO</v>
      </c>
      <c r="G90" s="3" t="str">
        <f t="shared" si="38"/>
        <v>ATE/IO15/Select_DO</v>
      </c>
      <c r="H90" s="41" t="str">
        <f>Paths!$B$12 &amp; D90</f>
        <v>Targets/Controller/Custom Devices/PickeringSwitching/Subunit1/Switch1_15</v>
      </c>
      <c r="I90" s="33" t="str">
        <f>"IO" &amp; A86</f>
        <v>IO15</v>
      </c>
      <c r="J90" s="104"/>
      <c r="K90" s="145"/>
      <c r="L90" s="129"/>
      <c r="M90" s="132"/>
      <c r="N90" s="135"/>
    </row>
    <row r="91" spans="1:14" ht="14.65" thickBot="1" x14ac:dyDescent="0.5">
      <c r="A91" s="114"/>
      <c r="B91" s="127"/>
      <c r="C91" s="31" t="str">
        <f>"PXI-2510-1/dut" &amp; D91</f>
        <v>PXI-2510-1/dut14</v>
      </c>
      <c r="D91" s="31">
        <f t="shared" si="31"/>
        <v>14</v>
      </c>
      <c r="E91" s="31" t="str">
        <f t="shared" si="39"/>
        <v>FIU</v>
      </c>
      <c r="F91" s="31" t="str">
        <f t="shared" si="39"/>
        <v>TBD</v>
      </c>
      <c r="G91" s="5" t="str">
        <f t="shared" si="38"/>
        <v>None</v>
      </c>
      <c r="H91" s="42" t="s">
        <v>28</v>
      </c>
      <c r="I91" s="34" t="str">
        <f>"IO" &amp; A86</f>
        <v>IO15</v>
      </c>
      <c r="J91" s="105"/>
      <c r="K91" s="146"/>
      <c r="L91" s="130"/>
      <c r="M91" s="133"/>
      <c r="N91" s="136"/>
    </row>
    <row r="92" spans="1:14" ht="15" customHeight="1" x14ac:dyDescent="0.45">
      <c r="A92" s="113">
        <f t="shared" ref="A92" si="40">A86+1</f>
        <v>16</v>
      </c>
      <c r="B92" s="100" t="str">
        <f t="shared" ref="B92" si="41">B86</f>
        <v>AO/DO
AO U: 0-10 V
DO: 0-Vsup</v>
      </c>
      <c r="C92" s="29" t="str">
        <f>"PXIe-6738/AO" &amp; D92</f>
        <v>PXIe-6738/AO15</v>
      </c>
      <c r="D92" s="29">
        <f t="shared" si="31"/>
        <v>15</v>
      </c>
      <c r="E92" s="29" t="str">
        <f t="shared" si="39"/>
        <v>Voltage out 0-10 V</v>
      </c>
      <c r="F92" s="29" t="str">
        <f t="shared" si="39"/>
        <v>AO</v>
      </c>
      <c r="G92" s="29" t="str">
        <f t="shared" ref="G92:G97" si="42">IF(OR(F92="None",F92="TBD"),"None",_xlfn.CONCAT("ATE/",I92,"/",F92))</f>
        <v>ATE/IO16/AO</v>
      </c>
      <c r="H92" s="39" t="str">
        <f>Paths!$B$26 &amp; D92</f>
        <v>Targets/Controller/Hardware/Chassis/DAQ/PXI1Slot15/Analog Output/AO15</v>
      </c>
      <c r="I92" s="32" t="str">
        <f>"IO" &amp; A92</f>
        <v>IO16</v>
      </c>
      <c r="J92" s="103" t="s">
        <v>6</v>
      </c>
      <c r="K92" s="144" t="s">
        <v>7</v>
      </c>
      <c r="L92" s="128"/>
      <c r="M92" s="131"/>
      <c r="N92" s="134"/>
    </row>
    <row r="93" spans="1:14" ht="15" customHeight="1" x14ac:dyDescent="0.45">
      <c r="A93" s="159"/>
      <c r="B93" s="126"/>
      <c r="C93" s="30" t="str">
        <f>"PXIe-7820R/DIO" &amp; D93</f>
        <v>PXIe-7820R/DIO15</v>
      </c>
      <c r="D93" s="30">
        <f t="shared" si="31"/>
        <v>15</v>
      </c>
      <c r="E93" s="30" t="str">
        <f t="shared" si="39"/>
        <v>FPGA DO (PWM Gen.)</v>
      </c>
      <c r="F93" s="30" t="str">
        <f t="shared" si="39"/>
        <v>PWM_FR</v>
      </c>
      <c r="G93" s="30" t="str">
        <f t="shared" si="42"/>
        <v>ATE/IO16/PWM_FR</v>
      </c>
      <c r="H93" s="36" t="str">
        <f>Paths!$B$2 &amp; I93 &amp; Paths!$B$6</f>
        <v>Targets/Controller/Custom Devices/FPGA Addon/Scalars/Scalar Outputs/PWM.Out.IO16/FREQ</v>
      </c>
      <c r="I93" s="33" t="str">
        <f>"IO" &amp; A92</f>
        <v>IO16</v>
      </c>
      <c r="J93" s="104"/>
      <c r="K93" s="145"/>
      <c r="L93" s="129"/>
      <c r="M93" s="132"/>
      <c r="N93" s="135"/>
    </row>
    <row r="94" spans="1:14" x14ac:dyDescent="0.45">
      <c r="A94" s="159"/>
      <c r="B94" s="126"/>
      <c r="C94" s="30" t="str">
        <f>"PXIe-7820R/DIO" &amp; D94</f>
        <v>PXIe-7820R/DIO15</v>
      </c>
      <c r="D94" s="30">
        <f t="shared" si="31"/>
        <v>15</v>
      </c>
      <c r="E94" s="30" t="str">
        <f t="shared" si="39"/>
        <v>FPGA DO (PWM Gen.)</v>
      </c>
      <c r="F94" s="30" t="str">
        <f t="shared" si="39"/>
        <v>PWM_DC</v>
      </c>
      <c r="G94" s="30" t="str">
        <f t="shared" si="42"/>
        <v>ATE/IO16/PWM_DC</v>
      </c>
      <c r="H94" s="36" t="str">
        <f>Paths!$B$2 &amp; I94 &amp; Paths!$B$7</f>
        <v>Targets/Controller/Custom Devices/FPGA Addon/Scalars/Scalar Outputs/PWM.Out.IO16/DC</v>
      </c>
      <c r="I94" s="33" t="str">
        <f>"IO" &amp; A92</f>
        <v>IO16</v>
      </c>
      <c r="J94" s="104"/>
      <c r="K94" s="145"/>
      <c r="L94" s="129"/>
      <c r="M94" s="132"/>
      <c r="N94" s="135"/>
    </row>
    <row r="95" spans="1:14" x14ac:dyDescent="0.45">
      <c r="A95" s="159"/>
      <c r="B95" s="126"/>
      <c r="C95" s="30" t="str">
        <f>"SLSC-12201-1/P" &amp; ROUNDDOWN(D95/8,0) &amp; "." &amp; MOD(D95,8)</f>
        <v>SLSC-12201-1/P1.7</v>
      </c>
      <c r="D95" s="30">
        <f t="shared" si="31"/>
        <v>15</v>
      </c>
      <c r="E95" s="30" t="str">
        <f t="shared" si="39"/>
        <v>Output Push-Pull</v>
      </c>
      <c r="F95" s="30" t="str">
        <f t="shared" si="39"/>
        <v>None</v>
      </c>
      <c r="G95" s="30" t="str">
        <f t="shared" si="42"/>
        <v>None</v>
      </c>
      <c r="H95" s="36" t="str">
        <f>Paths!$B$19 &amp; "Bank " &amp; ROUNDDOWN(D95/16,0) &amp; "/Port " &amp; ROUNDDOWN(D95/8,0) &amp; "/Line " &amp;MOD(D95,8) &amp;"/Direction"</f>
        <v>Targets/Controller/Hardware/SLSC/SLSC Chassis/Modules/Slot 8 (SLSC-12201 DIO)/Bank 0/Port 1/Line 7/Direction</v>
      </c>
      <c r="I95" s="33" t="str">
        <f>"IO" &amp; A92</f>
        <v>IO16</v>
      </c>
      <c r="J95" s="104"/>
      <c r="K95" s="145"/>
      <c r="L95" s="129"/>
      <c r="M95" s="132"/>
      <c r="N95" s="135"/>
    </row>
    <row r="96" spans="1:14" x14ac:dyDescent="0.45">
      <c r="A96" s="159"/>
      <c r="B96" s="126"/>
      <c r="C96" s="30" t="str">
        <f>"PXI 10-100-001/SPDT" &amp; D96</f>
        <v>PXI 10-100-001/SPDT16</v>
      </c>
      <c r="D96" s="30">
        <f t="shared" si="31"/>
        <v>16</v>
      </c>
      <c r="E96" s="30" t="str">
        <f t="shared" si="39"/>
        <v>DO (SPDT)</v>
      </c>
      <c r="F96" s="30" t="str">
        <f t="shared" si="39"/>
        <v>Select_DO</v>
      </c>
      <c r="G96" s="3" t="str">
        <f t="shared" si="42"/>
        <v>ATE/IO16/Select_DO</v>
      </c>
      <c r="H96" s="41" t="str">
        <f>Paths!$B$12 &amp; D96</f>
        <v>Targets/Controller/Custom Devices/PickeringSwitching/Subunit1/Switch1_16</v>
      </c>
      <c r="I96" s="33" t="str">
        <f>"IO" &amp; A92</f>
        <v>IO16</v>
      </c>
      <c r="J96" s="104"/>
      <c r="K96" s="145"/>
      <c r="L96" s="129"/>
      <c r="M96" s="132"/>
      <c r="N96" s="135"/>
    </row>
    <row r="97" spans="1:14" ht="14.65" thickBot="1" x14ac:dyDescent="0.5">
      <c r="A97" s="114"/>
      <c r="B97" s="127"/>
      <c r="C97" s="31" t="str">
        <f>"PXI-2510-1/dut" &amp; D97</f>
        <v>PXI-2510-1/dut15</v>
      </c>
      <c r="D97" s="31">
        <f t="shared" si="31"/>
        <v>15</v>
      </c>
      <c r="E97" s="31" t="str">
        <f t="shared" si="39"/>
        <v>FIU</v>
      </c>
      <c r="F97" s="31" t="str">
        <f t="shared" si="39"/>
        <v>TBD</v>
      </c>
      <c r="G97" s="5" t="str">
        <f t="shared" si="42"/>
        <v>None</v>
      </c>
      <c r="H97" s="42" t="s">
        <v>28</v>
      </c>
      <c r="I97" s="34" t="str">
        <f>"IO" &amp; A92</f>
        <v>IO16</v>
      </c>
      <c r="J97" s="105"/>
      <c r="K97" s="146"/>
      <c r="L97" s="130"/>
      <c r="M97" s="133"/>
      <c r="N97" s="136"/>
    </row>
    <row r="98" spans="1:14" ht="63.75" customHeight="1" thickBot="1" x14ac:dyDescent="0.5">
      <c r="B98" s="18"/>
      <c r="C98" s="50"/>
      <c r="D98" s="50"/>
      <c r="E98" s="50"/>
      <c r="F98" s="26"/>
      <c r="G98" s="26"/>
      <c r="H98" s="51"/>
      <c r="I98" s="33"/>
      <c r="J98" s="18"/>
      <c r="K98" s="27"/>
      <c r="L98" s="52"/>
      <c r="M98" s="26"/>
      <c r="N98" s="53"/>
    </row>
    <row r="99" spans="1:14" x14ac:dyDescent="0.45">
      <c r="A99" s="97">
        <f>A92+1</f>
        <v>17</v>
      </c>
      <c r="B99" s="123" t="s">
        <v>43</v>
      </c>
      <c r="C99" s="29" t="str">
        <f>"PXIe-6738/AO" &amp; D99</f>
        <v>PXIe-6738/AO16</v>
      </c>
      <c r="D99" s="44">
        <v>16</v>
      </c>
      <c r="E99" s="44" t="s">
        <v>5</v>
      </c>
      <c r="F99" s="44" t="s">
        <v>24</v>
      </c>
      <c r="G99" s="8" t="str">
        <f t="shared" ref="G99:G106" si="43">IF(OR(F99="None",F99="TBD"),"None",_xlfn.CONCAT("ATE/",I99,"/",F99))</f>
        <v>ATE/IO17/AO</v>
      </c>
      <c r="H99" s="39" t="str">
        <f>Paths!$B$26 &amp; D99</f>
        <v>Targets/Controller/Hardware/Chassis/DAQ/PXI1Slot15/Analog Output/AO16</v>
      </c>
      <c r="I99" s="32" t="str">
        <f>"IO" &amp; A99</f>
        <v>IO17</v>
      </c>
      <c r="J99" s="103" t="s">
        <v>6</v>
      </c>
      <c r="K99" s="144" t="s">
        <v>7</v>
      </c>
      <c r="L99" s="128"/>
      <c r="M99" s="131"/>
      <c r="N99" s="134"/>
    </row>
    <row r="100" spans="1:14" ht="15" customHeight="1" x14ac:dyDescent="0.45">
      <c r="A100" s="98"/>
      <c r="B100" s="153"/>
      <c r="C100" s="30" t="str">
        <f>"PXIe-7820R/DIO" &amp; D100</f>
        <v>PXIe-7820R/DIO16</v>
      </c>
      <c r="D100" s="45">
        <v>16</v>
      </c>
      <c r="E100" s="45" t="s">
        <v>38</v>
      </c>
      <c r="F100" s="45" t="s">
        <v>114</v>
      </c>
      <c r="G100" s="3" t="str">
        <f t="shared" si="43"/>
        <v>ATE/IO17/PWM_FR</v>
      </c>
      <c r="H100" s="36" t="str">
        <f>Paths!$B$2 &amp; I100 &amp; Paths!$B$6</f>
        <v>Targets/Controller/Custom Devices/FPGA Addon/Scalars/Scalar Outputs/PWM.Out.IO17/FREQ</v>
      </c>
      <c r="I100" s="33" t="str">
        <f>"IO" &amp; A99</f>
        <v>IO17</v>
      </c>
      <c r="J100" s="104"/>
      <c r="K100" s="145"/>
      <c r="L100" s="129"/>
      <c r="M100" s="132"/>
      <c r="N100" s="135"/>
    </row>
    <row r="101" spans="1:14" x14ac:dyDescent="0.45">
      <c r="A101" s="98"/>
      <c r="B101" s="153"/>
      <c r="C101" s="30" t="str">
        <f>"PXIe-7820R/DIO" &amp; D101</f>
        <v>PXIe-7820R/DIO16</v>
      </c>
      <c r="D101" s="45">
        <v>16</v>
      </c>
      <c r="E101" s="45" t="s">
        <v>38</v>
      </c>
      <c r="F101" s="45" t="s">
        <v>115</v>
      </c>
      <c r="G101" s="3" t="str">
        <f t="shared" si="43"/>
        <v>ATE/IO17/PWM_DC</v>
      </c>
      <c r="H101" s="36" t="str">
        <f>Paths!$B$2 &amp; I101 &amp; Paths!$B$7</f>
        <v>Targets/Controller/Custom Devices/FPGA Addon/Scalars/Scalar Outputs/PWM.Out.IO17/DC</v>
      </c>
      <c r="I101" s="33" t="str">
        <f>"IO" &amp; A99</f>
        <v>IO17</v>
      </c>
      <c r="J101" s="104"/>
      <c r="K101" s="145"/>
      <c r="L101" s="129"/>
      <c r="M101" s="132"/>
      <c r="N101" s="135"/>
    </row>
    <row r="102" spans="1:14" x14ac:dyDescent="0.45">
      <c r="A102" s="98"/>
      <c r="B102" s="153"/>
      <c r="C102" s="30" t="str">
        <f>"SLSC-12201-1/P" &amp; ROUNDDOWN(D102/8,0) &amp; "." &amp; MOD(D102,8)</f>
        <v>SLSC-12201-1/P2.0</v>
      </c>
      <c r="D102" s="45">
        <v>16</v>
      </c>
      <c r="E102" s="45" t="s">
        <v>11</v>
      </c>
      <c r="F102" s="45" t="s">
        <v>17</v>
      </c>
      <c r="G102" s="3" t="str">
        <f t="shared" si="43"/>
        <v>None</v>
      </c>
      <c r="H102" s="36" t="str">
        <f>Paths!$B$19 &amp; "Bank " &amp; ROUNDDOWN(D102/16,0) &amp; "/Port " &amp; ROUNDDOWN(D102/8,0) &amp; "/Line " &amp;MOD(D102,8) &amp;"/Direction"</f>
        <v>Targets/Controller/Hardware/SLSC/SLSC Chassis/Modules/Slot 8 (SLSC-12201 DIO)/Bank 1/Port 2/Line 0/Direction</v>
      </c>
      <c r="I102" s="33" t="str">
        <f>"IO" &amp; A99</f>
        <v>IO17</v>
      </c>
      <c r="J102" s="104"/>
      <c r="K102" s="145"/>
      <c r="L102" s="129"/>
      <c r="M102" s="132"/>
      <c r="N102" s="135"/>
    </row>
    <row r="103" spans="1:14" x14ac:dyDescent="0.45">
      <c r="A103" s="98"/>
      <c r="B103" s="153"/>
      <c r="C103" s="30" t="str">
        <f>"SLSC-AL3011-1/AO " &amp; D103</f>
        <v>SLSC-AL3011-1/AO 0</v>
      </c>
      <c r="D103" s="45">
        <v>0</v>
      </c>
      <c r="E103" s="45" t="s">
        <v>15</v>
      </c>
      <c r="F103" s="45" t="s">
        <v>28</v>
      </c>
      <c r="G103" s="3" t="str">
        <f t="shared" si="43"/>
        <v>None</v>
      </c>
      <c r="H103" s="41" t="s">
        <v>28</v>
      </c>
      <c r="I103" s="33" t="str">
        <f>"IO" &amp; A99</f>
        <v>IO17</v>
      </c>
      <c r="J103" s="104"/>
      <c r="K103" s="145"/>
      <c r="L103" s="129"/>
      <c r="M103" s="132"/>
      <c r="N103" s="135"/>
    </row>
    <row r="104" spans="1:14" x14ac:dyDescent="0.45">
      <c r="A104" s="98"/>
      <c r="B104" s="153"/>
      <c r="C104" s="30" t="str">
        <f>"PXI 10-100-001/SPDT" &amp; D104</f>
        <v>PXI 10-100-001/SPDT17</v>
      </c>
      <c r="D104" s="45">
        <v>17</v>
      </c>
      <c r="E104" s="45" t="s">
        <v>21</v>
      </c>
      <c r="F104" s="45" t="s">
        <v>117</v>
      </c>
      <c r="G104" s="3" t="str">
        <f t="shared" si="43"/>
        <v>ATE/IO17/Select_DO_or_AOR</v>
      </c>
      <c r="H104" s="41" t="str">
        <f>Paths!$B$12 &amp; D104</f>
        <v>Targets/Controller/Custom Devices/PickeringSwitching/Subunit1/Switch1_17</v>
      </c>
      <c r="I104" s="33" t="str">
        <f>"IO" &amp; A99</f>
        <v>IO17</v>
      </c>
      <c r="J104" s="104"/>
      <c r="K104" s="145"/>
      <c r="L104" s="129"/>
      <c r="M104" s="132"/>
      <c r="N104" s="135"/>
    </row>
    <row r="105" spans="1:14" x14ac:dyDescent="0.45">
      <c r="A105" s="98"/>
      <c r="B105" s="153"/>
      <c r="C105" s="30" t="str">
        <f>"PXI 10-100-001/SPDT" &amp; D105</f>
        <v>PXI 10-100-001/SPDT18</v>
      </c>
      <c r="D105" s="45">
        <v>18</v>
      </c>
      <c r="E105" s="45" t="s">
        <v>21</v>
      </c>
      <c r="F105" s="45" t="s">
        <v>118</v>
      </c>
      <c r="G105" s="3" t="str">
        <f t="shared" si="43"/>
        <v>ATE/IO17/Select_AOR</v>
      </c>
      <c r="H105" s="41" t="str">
        <f>Paths!$B$12 &amp; D105</f>
        <v>Targets/Controller/Custom Devices/PickeringSwitching/Subunit1/Switch1_18</v>
      </c>
      <c r="I105" s="33" t="str">
        <f>"IO" &amp; A99</f>
        <v>IO17</v>
      </c>
      <c r="J105" s="104"/>
      <c r="K105" s="145"/>
      <c r="L105" s="147"/>
      <c r="M105" s="148"/>
      <c r="N105" s="149"/>
    </row>
    <row r="106" spans="1:14" ht="14.65" thickBot="1" x14ac:dyDescent="0.5">
      <c r="A106" s="99"/>
      <c r="B106" s="154"/>
      <c r="C106" s="31" t="str">
        <f>"PXI-2510-1/dut" &amp; D106</f>
        <v>PXI-2510-1/dut16</v>
      </c>
      <c r="D106" s="46">
        <v>16</v>
      </c>
      <c r="E106" s="46" t="s">
        <v>0</v>
      </c>
      <c r="F106" s="46" t="s">
        <v>28</v>
      </c>
      <c r="G106" s="5" t="str">
        <f t="shared" si="43"/>
        <v>None</v>
      </c>
      <c r="H106" s="42" t="s">
        <v>28</v>
      </c>
      <c r="I106" s="19" t="str">
        <f>"IO" &amp; A99</f>
        <v>IO17</v>
      </c>
      <c r="J106" s="105"/>
      <c r="K106" s="146"/>
      <c r="L106" s="130"/>
      <c r="M106" s="133"/>
      <c r="N106" s="136"/>
    </row>
    <row r="107" spans="1:14" ht="15" customHeight="1" x14ac:dyDescent="0.45">
      <c r="A107" s="97">
        <f>A99+1</f>
        <v>18</v>
      </c>
      <c r="B107" s="100" t="str">
        <f>B99</f>
        <v>AO/DO
AO U: 0-10 V
AO R: 10 Ω - 8 MΩ
DO: 0-Vsup</v>
      </c>
      <c r="C107" s="29" t="str">
        <f>"PXIe-6738/AO" &amp; D107</f>
        <v>PXIe-6738/AO17</v>
      </c>
      <c r="D107" s="29">
        <f>D99+1</f>
        <v>17</v>
      </c>
      <c r="E107" s="29" t="str">
        <f>E99</f>
        <v>Voltage out 0-10 V</v>
      </c>
      <c r="F107" s="29" t="str">
        <f>F99</f>
        <v>AO</v>
      </c>
      <c r="G107" s="8" t="str">
        <f t="shared" ref="G107:G114" si="44">IF(OR(F107="None",F107="TBD"),"None",_xlfn.CONCAT("ATE/",I107,"/",F107))</f>
        <v>ATE/IO18/AO</v>
      </c>
      <c r="H107" s="39" t="str">
        <f>Paths!$B$26 &amp; D107</f>
        <v>Targets/Controller/Hardware/Chassis/DAQ/PXI1Slot15/Analog Output/AO17</v>
      </c>
      <c r="I107" s="32" t="str">
        <f>"IO" &amp; A107</f>
        <v>IO18</v>
      </c>
      <c r="J107" s="103" t="s">
        <v>6</v>
      </c>
      <c r="K107" s="144" t="s">
        <v>7</v>
      </c>
      <c r="L107" s="128"/>
      <c r="M107" s="131"/>
      <c r="N107" s="134"/>
    </row>
    <row r="108" spans="1:14" ht="15" customHeight="1" x14ac:dyDescent="0.45">
      <c r="A108" s="98"/>
      <c r="B108" s="126"/>
      <c r="C108" s="30" t="str">
        <f>"PXIe-7820R/DIO" &amp; D108</f>
        <v>PXIe-7820R/DIO17</v>
      </c>
      <c r="D108" s="30">
        <f>D100+1</f>
        <v>17</v>
      </c>
      <c r="E108" s="30" t="str">
        <f>E100</f>
        <v>FPGA DO (PWM Gen.)</v>
      </c>
      <c r="F108" s="30" t="str">
        <f>F100</f>
        <v>PWM_FR</v>
      </c>
      <c r="G108" s="3" t="str">
        <f t="shared" si="44"/>
        <v>ATE/IO18/PWM_FR</v>
      </c>
      <c r="H108" s="36" t="str">
        <f>Paths!$B$2 &amp; I108 &amp; Paths!$B$6</f>
        <v>Targets/Controller/Custom Devices/FPGA Addon/Scalars/Scalar Outputs/PWM.Out.IO18/FREQ</v>
      </c>
      <c r="I108" s="33" t="str">
        <f>"IO" &amp; A107</f>
        <v>IO18</v>
      </c>
      <c r="J108" s="104"/>
      <c r="K108" s="145"/>
      <c r="L108" s="129"/>
      <c r="M108" s="132"/>
      <c r="N108" s="135"/>
    </row>
    <row r="109" spans="1:14" x14ac:dyDescent="0.45">
      <c r="A109" s="98"/>
      <c r="B109" s="126"/>
      <c r="C109" s="30" t="str">
        <f>"PXIe-7820R/DIO" &amp; D109</f>
        <v>PXIe-7820R/DIO17</v>
      </c>
      <c r="D109" s="30">
        <f>D101+1</f>
        <v>17</v>
      </c>
      <c r="E109" s="30" t="str">
        <f t="shared" ref="E109:F113" si="45">E101</f>
        <v>FPGA DO (PWM Gen.)</v>
      </c>
      <c r="F109" s="30" t="str">
        <f t="shared" si="45"/>
        <v>PWM_DC</v>
      </c>
      <c r="G109" s="3" t="str">
        <f t="shared" si="44"/>
        <v>ATE/IO18/PWM_DC</v>
      </c>
      <c r="H109" s="36" t="str">
        <f>Paths!$B$2 &amp; I109 &amp; Paths!$B$7</f>
        <v>Targets/Controller/Custom Devices/FPGA Addon/Scalars/Scalar Outputs/PWM.Out.IO18/DC</v>
      </c>
      <c r="I109" s="33" t="str">
        <f>"IO" &amp; A107</f>
        <v>IO18</v>
      </c>
      <c r="J109" s="104"/>
      <c r="K109" s="145"/>
      <c r="L109" s="129"/>
      <c r="M109" s="132"/>
      <c r="N109" s="135"/>
    </row>
    <row r="110" spans="1:14" x14ac:dyDescent="0.45">
      <c r="A110" s="98"/>
      <c r="B110" s="126"/>
      <c r="C110" s="30" t="str">
        <f>"SLSC-12201-1/P" &amp; ROUNDDOWN(D110/8,0) &amp; "." &amp; MOD(D110,8)</f>
        <v>SLSC-12201-1/P2.1</v>
      </c>
      <c r="D110" s="30">
        <f>D102+1</f>
        <v>17</v>
      </c>
      <c r="E110" s="30" t="str">
        <f t="shared" si="45"/>
        <v>Output Push-Pull</v>
      </c>
      <c r="F110" s="30" t="str">
        <f t="shared" si="45"/>
        <v>None</v>
      </c>
      <c r="G110" s="3" t="str">
        <f t="shared" si="44"/>
        <v>None</v>
      </c>
      <c r="H110" s="36" t="str">
        <f>Paths!$B$19 &amp; "Bank " &amp; ROUNDDOWN(D110/16,0) &amp; "/Port " &amp; ROUNDDOWN(D110/8,0) &amp; "/Line " &amp;MOD(D110,8) &amp;"/Direction"</f>
        <v>Targets/Controller/Hardware/SLSC/SLSC Chassis/Modules/Slot 8 (SLSC-12201 DIO)/Bank 1/Port 2/Line 1/Direction</v>
      </c>
      <c r="I110" s="33" t="str">
        <f>"IO" &amp; A107</f>
        <v>IO18</v>
      </c>
      <c r="J110" s="104"/>
      <c r="K110" s="145"/>
      <c r="L110" s="129"/>
      <c r="M110" s="132"/>
      <c r="N110" s="135"/>
    </row>
    <row r="111" spans="1:14" x14ac:dyDescent="0.45">
      <c r="A111" s="98"/>
      <c r="B111" s="126"/>
      <c r="C111" s="30" t="str">
        <f>"SLSC-AL3011-1/AO " &amp; D111</f>
        <v>SLSC-AL3011-1/AO 1</v>
      </c>
      <c r="D111" s="3">
        <f>D103+1</f>
        <v>1</v>
      </c>
      <c r="E111" s="30" t="str">
        <f t="shared" si="45"/>
        <v>Resistance 10 Ω - 8 MΩ</v>
      </c>
      <c r="F111" s="30" t="str">
        <f t="shared" si="45"/>
        <v>TBD</v>
      </c>
      <c r="G111" s="3" t="str">
        <f t="shared" si="44"/>
        <v>None</v>
      </c>
      <c r="H111" s="41" t="s">
        <v>28</v>
      </c>
      <c r="I111" s="33" t="str">
        <f>"IO" &amp; A107</f>
        <v>IO18</v>
      </c>
      <c r="J111" s="104"/>
      <c r="K111" s="145"/>
      <c r="L111" s="129"/>
      <c r="M111" s="132"/>
      <c r="N111" s="135"/>
    </row>
    <row r="112" spans="1:14" x14ac:dyDescent="0.45">
      <c r="A112" s="98"/>
      <c r="B112" s="126"/>
      <c r="C112" s="30" t="str">
        <f>"PXI 10-100-001/SPDT" &amp; D112</f>
        <v>PXI 10-100-001/SPDT19</v>
      </c>
      <c r="D112" s="30">
        <f>D105+1</f>
        <v>19</v>
      </c>
      <c r="E112" s="30" t="str">
        <f t="shared" si="45"/>
        <v>DO (SPDT)</v>
      </c>
      <c r="F112" s="30" t="str">
        <f t="shared" si="45"/>
        <v>Select_DO_or_AOR</v>
      </c>
      <c r="G112" s="3" t="str">
        <f t="shared" si="44"/>
        <v>ATE/IO18/Select_DO_or_AOR</v>
      </c>
      <c r="H112" s="41" t="str">
        <f>Paths!$B$12 &amp; D112</f>
        <v>Targets/Controller/Custom Devices/PickeringSwitching/Subunit1/Switch1_19</v>
      </c>
      <c r="I112" s="33" t="str">
        <f>"IO" &amp; A107</f>
        <v>IO18</v>
      </c>
      <c r="J112" s="104"/>
      <c r="K112" s="145"/>
      <c r="L112" s="129"/>
      <c r="M112" s="132"/>
      <c r="N112" s="135"/>
    </row>
    <row r="113" spans="1:14" x14ac:dyDescent="0.45">
      <c r="A113" s="98"/>
      <c r="B113" s="126"/>
      <c r="C113" s="30" t="str">
        <f>"PXI 10-100-001/SPDT" &amp; D113</f>
        <v>PXI 10-100-001/SPDT20</v>
      </c>
      <c r="D113" s="30">
        <f>D112+1</f>
        <v>20</v>
      </c>
      <c r="E113" s="30" t="str">
        <f t="shared" si="45"/>
        <v>DO (SPDT)</v>
      </c>
      <c r="F113" s="30" t="str">
        <f t="shared" si="45"/>
        <v>Select_AOR</v>
      </c>
      <c r="G113" s="3" t="str">
        <f t="shared" si="44"/>
        <v>ATE/IO18/Select_AOR</v>
      </c>
      <c r="H113" s="41" t="str">
        <f>Paths!$B$12 &amp; D113</f>
        <v>Targets/Controller/Custom Devices/PickeringSwitching/Subunit1/Switch1_20</v>
      </c>
      <c r="I113" s="33" t="str">
        <f>"IO" &amp; A107</f>
        <v>IO18</v>
      </c>
      <c r="J113" s="104"/>
      <c r="K113" s="145"/>
      <c r="L113" s="147"/>
      <c r="M113" s="148"/>
      <c r="N113" s="149"/>
    </row>
    <row r="114" spans="1:14" ht="14.65" thickBot="1" x14ac:dyDescent="0.5">
      <c r="A114" s="99"/>
      <c r="B114" s="127"/>
      <c r="C114" s="31" t="str">
        <f>"PXI-2510-1/dut" &amp; D114</f>
        <v>PXI-2510-1/dut17</v>
      </c>
      <c r="D114" s="31">
        <f t="shared" ref="D114:D119" si="46">D106+1</f>
        <v>17</v>
      </c>
      <c r="E114" s="5" t="str">
        <f t="shared" ref="E114:F116" si="47">E106</f>
        <v>FIU</v>
      </c>
      <c r="F114" s="31" t="str">
        <f t="shared" si="47"/>
        <v>TBD</v>
      </c>
      <c r="G114" s="5" t="str">
        <f t="shared" si="44"/>
        <v>None</v>
      </c>
      <c r="H114" s="42" t="s">
        <v>28</v>
      </c>
      <c r="I114" s="19" t="str">
        <f>"IO" &amp; A107</f>
        <v>IO18</v>
      </c>
      <c r="J114" s="105"/>
      <c r="K114" s="146"/>
      <c r="L114" s="130"/>
      <c r="M114" s="133"/>
      <c r="N114" s="136"/>
    </row>
    <row r="115" spans="1:14" ht="15" customHeight="1" x14ac:dyDescent="0.45">
      <c r="A115" s="97">
        <f>A107+1</f>
        <v>19</v>
      </c>
      <c r="B115" s="100" t="str">
        <f>B107</f>
        <v>AO/DO
AO U: 0-10 V
AO R: 10 Ω - 8 MΩ
DO: 0-Vsup</v>
      </c>
      <c r="C115" s="29" t="str">
        <f>"PXIe-6738/AO" &amp; D115</f>
        <v>PXIe-6738/AO18</v>
      </c>
      <c r="D115" s="29">
        <f t="shared" si="46"/>
        <v>18</v>
      </c>
      <c r="E115" s="29" t="str">
        <f t="shared" si="47"/>
        <v>Voltage out 0-10 V</v>
      </c>
      <c r="F115" s="29" t="str">
        <f t="shared" si="47"/>
        <v>AO</v>
      </c>
      <c r="G115" s="8" t="str">
        <f t="shared" ref="G115:G122" si="48">IF(OR(F115="None",F115="TBD"),"None",_xlfn.CONCAT("ATE/",I115,"/",F115))</f>
        <v>ATE/IO19/AO</v>
      </c>
      <c r="H115" s="39" t="str">
        <f>Paths!$B$26 &amp; D115</f>
        <v>Targets/Controller/Hardware/Chassis/DAQ/PXI1Slot15/Analog Output/AO18</v>
      </c>
      <c r="I115" s="32" t="str">
        <f>"IO" &amp; A115</f>
        <v>IO19</v>
      </c>
      <c r="J115" s="103" t="s">
        <v>6</v>
      </c>
      <c r="K115" s="144" t="s">
        <v>7</v>
      </c>
      <c r="L115" s="128"/>
      <c r="M115" s="131"/>
      <c r="N115" s="134"/>
    </row>
    <row r="116" spans="1:14" ht="15" customHeight="1" x14ac:dyDescent="0.45">
      <c r="A116" s="98"/>
      <c r="B116" s="126"/>
      <c r="C116" s="30" t="str">
        <f>"PXIe-7820R/DIO" &amp; D116</f>
        <v>PXIe-7820R/DIO18</v>
      </c>
      <c r="D116" s="30">
        <f t="shared" si="46"/>
        <v>18</v>
      </c>
      <c r="E116" s="30" t="str">
        <f t="shared" si="47"/>
        <v>FPGA DO (PWM Gen.)</v>
      </c>
      <c r="F116" s="30" t="str">
        <f t="shared" si="47"/>
        <v>PWM_FR</v>
      </c>
      <c r="G116" s="3" t="str">
        <f t="shared" si="48"/>
        <v>ATE/IO19/PWM_FR</v>
      </c>
      <c r="H116" s="36" t="str">
        <f>Paths!$B$2 &amp; I116 &amp; Paths!$B$6</f>
        <v>Targets/Controller/Custom Devices/FPGA Addon/Scalars/Scalar Outputs/PWM.Out.IO19/FREQ</v>
      </c>
      <c r="I116" s="33" t="str">
        <f>"IO" &amp; A115</f>
        <v>IO19</v>
      </c>
      <c r="J116" s="104"/>
      <c r="K116" s="145"/>
      <c r="L116" s="129"/>
      <c r="M116" s="132"/>
      <c r="N116" s="135"/>
    </row>
    <row r="117" spans="1:14" x14ac:dyDescent="0.45">
      <c r="A117" s="98"/>
      <c r="B117" s="126"/>
      <c r="C117" s="30" t="str">
        <f>"PXIe-7820R/DIO" &amp; D117</f>
        <v>PXIe-7820R/DIO18</v>
      </c>
      <c r="D117" s="30">
        <f t="shared" si="46"/>
        <v>18</v>
      </c>
      <c r="E117" s="30" t="str">
        <f t="shared" ref="E117:F117" si="49">E109</f>
        <v>FPGA DO (PWM Gen.)</v>
      </c>
      <c r="F117" s="30" t="str">
        <f t="shared" si="49"/>
        <v>PWM_DC</v>
      </c>
      <c r="G117" s="3" t="str">
        <f t="shared" si="48"/>
        <v>ATE/IO19/PWM_DC</v>
      </c>
      <c r="H117" s="36" t="str">
        <f>Paths!$B$2 &amp; I117 &amp; Paths!$B$7</f>
        <v>Targets/Controller/Custom Devices/FPGA Addon/Scalars/Scalar Outputs/PWM.Out.IO19/DC</v>
      </c>
      <c r="I117" s="33" t="str">
        <f>"IO" &amp; A115</f>
        <v>IO19</v>
      </c>
      <c r="J117" s="104"/>
      <c r="K117" s="145"/>
      <c r="L117" s="129"/>
      <c r="M117" s="132"/>
      <c r="N117" s="135"/>
    </row>
    <row r="118" spans="1:14" x14ac:dyDescent="0.45">
      <c r="A118" s="98"/>
      <c r="B118" s="126"/>
      <c r="C118" s="30" t="str">
        <f>"SLSC-12201-1/P" &amp; ROUNDDOWN(D118/8,0) &amp; "." &amp; MOD(D118,8)</f>
        <v>SLSC-12201-1/P2.2</v>
      </c>
      <c r="D118" s="30">
        <f t="shared" si="46"/>
        <v>18</v>
      </c>
      <c r="E118" s="30" t="str">
        <f t="shared" ref="E118:F118" si="50">E110</f>
        <v>Output Push-Pull</v>
      </c>
      <c r="F118" s="30" t="str">
        <f t="shared" si="50"/>
        <v>None</v>
      </c>
      <c r="G118" s="3" t="str">
        <f t="shared" si="48"/>
        <v>None</v>
      </c>
      <c r="H118" s="36" t="str">
        <f>Paths!$B$19 &amp; "Bank " &amp; ROUNDDOWN(D118/16,0) &amp; "/Port " &amp; ROUNDDOWN(D118/8,0) &amp; "/Line " &amp;MOD(D118,8) &amp;"/Direction"</f>
        <v>Targets/Controller/Hardware/SLSC/SLSC Chassis/Modules/Slot 8 (SLSC-12201 DIO)/Bank 1/Port 2/Line 2/Direction</v>
      </c>
      <c r="I118" s="33" t="str">
        <f>"IO" &amp; A115</f>
        <v>IO19</v>
      </c>
      <c r="J118" s="104"/>
      <c r="K118" s="145"/>
      <c r="L118" s="129"/>
      <c r="M118" s="132"/>
      <c r="N118" s="135"/>
    </row>
    <row r="119" spans="1:14" x14ac:dyDescent="0.45">
      <c r="A119" s="98"/>
      <c r="B119" s="126"/>
      <c r="C119" s="30" t="str">
        <f>"SLSC-AL3011-1/AO " &amp; D119</f>
        <v>SLSC-AL3011-1/AO 2</v>
      </c>
      <c r="D119" s="3">
        <f t="shared" si="46"/>
        <v>2</v>
      </c>
      <c r="E119" s="30" t="str">
        <f t="shared" ref="E119:F119" si="51">E111</f>
        <v>Resistance 10 Ω - 8 MΩ</v>
      </c>
      <c r="F119" s="30" t="str">
        <f t="shared" si="51"/>
        <v>TBD</v>
      </c>
      <c r="G119" s="3" t="str">
        <f t="shared" si="48"/>
        <v>None</v>
      </c>
      <c r="H119" s="41" t="s">
        <v>28</v>
      </c>
      <c r="I119" s="33" t="str">
        <f>"IO" &amp; A115</f>
        <v>IO19</v>
      </c>
      <c r="J119" s="104"/>
      <c r="K119" s="145"/>
      <c r="L119" s="129"/>
      <c r="M119" s="132"/>
      <c r="N119" s="135"/>
    </row>
    <row r="120" spans="1:14" x14ac:dyDescent="0.45">
      <c r="A120" s="98"/>
      <c r="B120" s="126"/>
      <c r="C120" s="30" t="str">
        <f>"PXI 10-100-001/SPDT" &amp; D120</f>
        <v>PXI 10-100-001/SPDT21</v>
      </c>
      <c r="D120" s="30">
        <f>D113+1</f>
        <v>21</v>
      </c>
      <c r="E120" s="30" t="str">
        <f t="shared" ref="E120:F120" si="52">E112</f>
        <v>DO (SPDT)</v>
      </c>
      <c r="F120" s="30" t="str">
        <f t="shared" si="52"/>
        <v>Select_DO_or_AOR</v>
      </c>
      <c r="G120" s="3" t="str">
        <f t="shared" si="48"/>
        <v>ATE/IO19/Select_DO_or_AOR</v>
      </c>
      <c r="H120" s="41" t="str">
        <f>Paths!$B$12 &amp; D120</f>
        <v>Targets/Controller/Custom Devices/PickeringSwitching/Subunit1/Switch1_21</v>
      </c>
      <c r="I120" s="33" t="str">
        <f>"IO" &amp; A115</f>
        <v>IO19</v>
      </c>
      <c r="J120" s="104"/>
      <c r="K120" s="145"/>
      <c r="L120" s="129"/>
      <c r="M120" s="132"/>
      <c r="N120" s="135"/>
    </row>
    <row r="121" spans="1:14" x14ac:dyDescent="0.45">
      <c r="A121" s="98"/>
      <c r="B121" s="126"/>
      <c r="C121" s="30" t="str">
        <f>"PXI 10-100-001/SPDT" &amp; D121</f>
        <v>PXI 10-100-001/SPDT22</v>
      </c>
      <c r="D121" s="30">
        <f>D120+1</f>
        <v>22</v>
      </c>
      <c r="E121" s="30" t="str">
        <f t="shared" ref="E121:F121" si="53">E113</f>
        <v>DO (SPDT)</v>
      </c>
      <c r="F121" s="30" t="str">
        <f t="shared" si="53"/>
        <v>Select_AOR</v>
      </c>
      <c r="G121" s="3" t="str">
        <f t="shared" si="48"/>
        <v>ATE/IO19/Select_AOR</v>
      </c>
      <c r="H121" s="41" t="str">
        <f>Paths!$B$12 &amp; D121</f>
        <v>Targets/Controller/Custom Devices/PickeringSwitching/Subunit1/Switch1_22</v>
      </c>
      <c r="I121" s="33" t="str">
        <f>"IO" &amp; A115</f>
        <v>IO19</v>
      </c>
      <c r="J121" s="104"/>
      <c r="K121" s="145"/>
      <c r="L121" s="147"/>
      <c r="M121" s="148"/>
      <c r="N121" s="149"/>
    </row>
    <row r="122" spans="1:14" ht="14.65" thickBot="1" x14ac:dyDescent="0.5">
      <c r="A122" s="99"/>
      <c r="B122" s="127"/>
      <c r="C122" s="31" t="str">
        <f>"PXI-2510-1/dut" &amp; D122</f>
        <v>PXI-2510-1/dut18</v>
      </c>
      <c r="D122" s="31">
        <f t="shared" ref="D122:D127" si="54">D114+1</f>
        <v>18</v>
      </c>
      <c r="E122" s="5" t="str">
        <f t="shared" ref="E122:F124" si="55">E114</f>
        <v>FIU</v>
      </c>
      <c r="F122" s="31" t="str">
        <f t="shared" si="55"/>
        <v>TBD</v>
      </c>
      <c r="G122" s="5" t="str">
        <f t="shared" si="48"/>
        <v>None</v>
      </c>
      <c r="H122" s="42" t="s">
        <v>28</v>
      </c>
      <c r="I122" s="19" t="str">
        <f>"IO" &amp; A115</f>
        <v>IO19</v>
      </c>
      <c r="J122" s="105"/>
      <c r="K122" s="146"/>
      <c r="L122" s="130"/>
      <c r="M122" s="133"/>
      <c r="N122" s="136"/>
    </row>
    <row r="123" spans="1:14" ht="15" customHeight="1" x14ac:dyDescent="0.45">
      <c r="A123" s="97">
        <f>A115+1</f>
        <v>20</v>
      </c>
      <c r="B123" s="100" t="str">
        <f>B115</f>
        <v>AO/DO
AO U: 0-10 V
AO R: 10 Ω - 8 MΩ
DO: 0-Vsup</v>
      </c>
      <c r="C123" s="29" t="str">
        <f>"PXIe-6738/AO" &amp; D123</f>
        <v>PXIe-6738/AO19</v>
      </c>
      <c r="D123" s="29">
        <f t="shared" si="54"/>
        <v>19</v>
      </c>
      <c r="E123" s="29" t="str">
        <f t="shared" si="55"/>
        <v>Voltage out 0-10 V</v>
      </c>
      <c r="F123" s="29" t="str">
        <f t="shared" si="55"/>
        <v>AO</v>
      </c>
      <c r="G123" s="8" t="str">
        <f t="shared" ref="G123:G146" si="56">IF(OR(F123="None",F123="TBD"),"None",_xlfn.CONCAT("ATE/",I123,"/",F123))</f>
        <v>ATE/IO20/AO</v>
      </c>
      <c r="H123" s="39" t="str">
        <f>Paths!$B$26 &amp; D123</f>
        <v>Targets/Controller/Hardware/Chassis/DAQ/PXI1Slot15/Analog Output/AO19</v>
      </c>
      <c r="I123" s="32" t="str">
        <f>"IO" &amp; A123</f>
        <v>IO20</v>
      </c>
      <c r="J123" s="103" t="s">
        <v>6</v>
      </c>
      <c r="K123" s="144" t="s">
        <v>7</v>
      </c>
      <c r="L123" s="128"/>
      <c r="M123" s="131"/>
      <c r="N123" s="134"/>
    </row>
    <row r="124" spans="1:14" ht="15" customHeight="1" x14ac:dyDescent="0.45">
      <c r="A124" s="98"/>
      <c r="B124" s="126"/>
      <c r="C124" s="30" t="str">
        <f>"PXIe-7820R/DIO" &amp; D124</f>
        <v>PXIe-7820R/DIO19</v>
      </c>
      <c r="D124" s="30">
        <f t="shared" si="54"/>
        <v>19</v>
      </c>
      <c r="E124" s="30" t="str">
        <f t="shared" si="55"/>
        <v>FPGA DO (PWM Gen.)</v>
      </c>
      <c r="F124" s="30" t="str">
        <f t="shared" si="55"/>
        <v>PWM_FR</v>
      </c>
      <c r="G124" s="3" t="str">
        <f t="shared" si="56"/>
        <v>ATE/IO20/PWM_FR</v>
      </c>
      <c r="H124" s="36" t="str">
        <f>Paths!$B$2 &amp; I124 &amp; Paths!$B$6</f>
        <v>Targets/Controller/Custom Devices/FPGA Addon/Scalars/Scalar Outputs/PWM.Out.IO20/FREQ</v>
      </c>
      <c r="I124" s="33" t="str">
        <f>"IO" &amp; A123</f>
        <v>IO20</v>
      </c>
      <c r="J124" s="104"/>
      <c r="K124" s="145"/>
      <c r="L124" s="129"/>
      <c r="M124" s="132"/>
      <c r="N124" s="135"/>
    </row>
    <row r="125" spans="1:14" x14ac:dyDescent="0.45">
      <c r="A125" s="98"/>
      <c r="B125" s="126"/>
      <c r="C125" s="30" t="str">
        <f>"PXIe-7820R/DIO" &amp; D125</f>
        <v>PXIe-7820R/DIO19</v>
      </c>
      <c r="D125" s="30">
        <f t="shared" si="54"/>
        <v>19</v>
      </c>
      <c r="E125" s="30" t="str">
        <f t="shared" ref="E125:F125" si="57">E117</f>
        <v>FPGA DO (PWM Gen.)</v>
      </c>
      <c r="F125" s="30" t="str">
        <f t="shared" si="57"/>
        <v>PWM_DC</v>
      </c>
      <c r="G125" s="3" t="str">
        <f t="shared" si="56"/>
        <v>ATE/IO20/PWM_DC</v>
      </c>
      <c r="H125" s="36" t="str">
        <f>Paths!$B$2 &amp; I125 &amp; Paths!$B$7</f>
        <v>Targets/Controller/Custom Devices/FPGA Addon/Scalars/Scalar Outputs/PWM.Out.IO20/DC</v>
      </c>
      <c r="I125" s="33" t="str">
        <f>"IO" &amp; A123</f>
        <v>IO20</v>
      </c>
      <c r="J125" s="104"/>
      <c r="K125" s="145"/>
      <c r="L125" s="129"/>
      <c r="M125" s="132"/>
      <c r="N125" s="135"/>
    </row>
    <row r="126" spans="1:14" x14ac:dyDescent="0.45">
      <c r="A126" s="98"/>
      <c r="B126" s="126"/>
      <c r="C126" s="30" t="str">
        <f>"SLSC-12201-1/P" &amp; ROUNDDOWN(D126/8,0) &amp; "." &amp; MOD(D126,8)</f>
        <v>SLSC-12201-1/P2.3</v>
      </c>
      <c r="D126" s="30">
        <f t="shared" si="54"/>
        <v>19</v>
      </c>
      <c r="E126" s="30" t="str">
        <f t="shared" ref="E126:F126" si="58">E118</f>
        <v>Output Push-Pull</v>
      </c>
      <c r="F126" s="30" t="str">
        <f t="shared" si="58"/>
        <v>None</v>
      </c>
      <c r="G126" s="3" t="str">
        <f t="shared" si="56"/>
        <v>None</v>
      </c>
      <c r="H126" s="36" t="str">
        <f>Paths!$B$19 &amp; "Bank " &amp; ROUNDDOWN(D126/16,0) &amp; "/Port " &amp; ROUNDDOWN(D126/8,0) &amp; "/Line " &amp;MOD(D126,8) &amp;"/Direction"</f>
        <v>Targets/Controller/Hardware/SLSC/SLSC Chassis/Modules/Slot 8 (SLSC-12201 DIO)/Bank 1/Port 2/Line 3/Direction</v>
      </c>
      <c r="I126" s="33" t="str">
        <f>"IO" &amp; A123</f>
        <v>IO20</v>
      </c>
      <c r="J126" s="104"/>
      <c r="K126" s="145"/>
      <c r="L126" s="129"/>
      <c r="M126" s="132"/>
      <c r="N126" s="135"/>
    </row>
    <row r="127" spans="1:14" x14ac:dyDescent="0.45">
      <c r="A127" s="98"/>
      <c r="B127" s="126"/>
      <c r="C127" s="30" t="str">
        <f>"SLSC-AL3011-1/AO " &amp; D127</f>
        <v>SLSC-AL3011-1/AO 3</v>
      </c>
      <c r="D127" s="3">
        <f t="shared" si="54"/>
        <v>3</v>
      </c>
      <c r="E127" s="30" t="str">
        <f t="shared" ref="E127:F127" si="59">E119</f>
        <v>Resistance 10 Ω - 8 MΩ</v>
      </c>
      <c r="F127" s="30" t="str">
        <f t="shared" si="59"/>
        <v>TBD</v>
      </c>
      <c r="G127" s="3" t="str">
        <f t="shared" si="56"/>
        <v>None</v>
      </c>
      <c r="H127" s="41" t="s">
        <v>28</v>
      </c>
      <c r="I127" s="33" t="str">
        <f>"IO" &amp; A123</f>
        <v>IO20</v>
      </c>
      <c r="J127" s="104"/>
      <c r="K127" s="145"/>
      <c r="L127" s="129"/>
      <c r="M127" s="132"/>
      <c r="N127" s="135"/>
    </row>
    <row r="128" spans="1:14" x14ac:dyDescent="0.45">
      <c r="A128" s="98"/>
      <c r="B128" s="126"/>
      <c r="C128" s="30" t="str">
        <f>"PXI 10-100-001/SPDT" &amp; D128</f>
        <v>PXI 10-100-001/SPDT23</v>
      </c>
      <c r="D128" s="30">
        <f>D121+1</f>
        <v>23</v>
      </c>
      <c r="E128" s="30" t="str">
        <f t="shared" ref="E128:F128" si="60">E120</f>
        <v>DO (SPDT)</v>
      </c>
      <c r="F128" s="30" t="str">
        <f t="shared" si="60"/>
        <v>Select_DO_or_AOR</v>
      </c>
      <c r="G128" s="3" t="str">
        <f t="shared" si="56"/>
        <v>ATE/IO20/Select_DO_or_AOR</v>
      </c>
      <c r="H128" s="41" t="str">
        <f>Paths!$B$12 &amp; D128</f>
        <v>Targets/Controller/Custom Devices/PickeringSwitching/Subunit1/Switch1_23</v>
      </c>
      <c r="I128" s="33" t="str">
        <f>"IO" &amp; A123</f>
        <v>IO20</v>
      </c>
      <c r="J128" s="104"/>
      <c r="K128" s="145"/>
      <c r="L128" s="129"/>
      <c r="M128" s="132"/>
      <c r="N128" s="135"/>
    </row>
    <row r="129" spans="1:14" x14ac:dyDescent="0.45">
      <c r="A129" s="98"/>
      <c r="B129" s="126"/>
      <c r="C129" s="30" t="str">
        <f>"PXI 10-100-001/SPDT" &amp; D129</f>
        <v>PXI 10-100-001/SPDT24</v>
      </c>
      <c r="D129" s="30">
        <f>D128+1</f>
        <v>24</v>
      </c>
      <c r="E129" s="30" t="str">
        <f t="shared" ref="E129:F129" si="61">E121</f>
        <v>DO (SPDT)</v>
      </c>
      <c r="F129" s="30" t="str">
        <f t="shared" si="61"/>
        <v>Select_AOR</v>
      </c>
      <c r="G129" s="3" t="str">
        <f t="shared" si="56"/>
        <v>ATE/IO20/Select_AOR</v>
      </c>
      <c r="H129" s="41" t="str">
        <f>Paths!$B$12 &amp; D129</f>
        <v>Targets/Controller/Custom Devices/PickeringSwitching/Subunit1/Switch1_24</v>
      </c>
      <c r="I129" s="33" t="str">
        <f>"IO" &amp; A123</f>
        <v>IO20</v>
      </c>
      <c r="J129" s="104"/>
      <c r="K129" s="145"/>
      <c r="L129" s="147"/>
      <c r="M129" s="148"/>
      <c r="N129" s="149"/>
    </row>
    <row r="130" spans="1:14" ht="14.65" thickBot="1" x14ac:dyDescent="0.5">
      <c r="A130" s="99"/>
      <c r="B130" s="127"/>
      <c r="C130" s="31" t="str">
        <f>"PXI-2510-1/dut" &amp; D130</f>
        <v>PXI-2510-1/dut19</v>
      </c>
      <c r="D130" s="31">
        <f t="shared" ref="D130:D135" si="62">D122+1</f>
        <v>19</v>
      </c>
      <c r="E130" s="5" t="str">
        <f t="shared" ref="E130:F132" si="63">E122</f>
        <v>FIU</v>
      </c>
      <c r="F130" s="31" t="str">
        <f t="shared" si="63"/>
        <v>TBD</v>
      </c>
      <c r="G130" s="5" t="str">
        <f t="shared" si="56"/>
        <v>None</v>
      </c>
      <c r="H130" s="42" t="s">
        <v>28</v>
      </c>
      <c r="I130" s="19" t="str">
        <f>"IO" &amp; A123</f>
        <v>IO20</v>
      </c>
      <c r="J130" s="105"/>
      <c r="K130" s="146"/>
      <c r="L130" s="130"/>
      <c r="M130" s="133"/>
      <c r="N130" s="136"/>
    </row>
    <row r="131" spans="1:14" ht="15" customHeight="1" x14ac:dyDescent="0.45">
      <c r="A131" s="97">
        <f>A123+1</f>
        <v>21</v>
      </c>
      <c r="B131" s="100" t="str">
        <f>B123</f>
        <v>AO/DO
AO U: 0-10 V
AO R: 10 Ω - 8 MΩ
DO: 0-Vsup</v>
      </c>
      <c r="C131" s="29" t="str">
        <f>"PXIe-6738/AO" &amp; D131</f>
        <v>PXIe-6738/AO20</v>
      </c>
      <c r="D131" s="29">
        <f t="shared" si="62"/>
        <v>20</v>
      </c>
      <c r="E131" s="29" t="str">
        <f t="shared" si="63"/>
        <v>Voltage out 0-10 V</v>
      </c>
      <c r="F131" s="29" t="str">
        <f t="shared" si="63"/>
        <v>AO</v>
      </c>
      <c r="G131" s="8" t="str">
        <f t="shared" si="56"/>
        <v>ATE/IO21/AO</v>
      </c>
      <c r="H131" s="39" t="str">
        <f>Paths!$B$26 &amp; D131</f>
        <v>Targets/Controller/Hardware/Chassis/DAQ/PXI1Slot15/Analog Output/AO20</v>
      </c>
      <c r="I131" s="32" t="str">
        <f>"IO" &amp; A131</f>
        <v>IO21</v>
      </c>
      <c r="J131" s="103" t="s">
        <v>6</v>
      </c>
      <c r="K131" s="144" t="s">
        <v>7</v>
      </c>
      <c r="L131" s="128"/>
      <c r="M131" s="131"/>
      <c r="N131" s="134"/>
    </row>
    <row r="132" spans="1:14" ht="15" customHeight="1" x14ac:dyDescent="0.45">
      <c r="A132" s="98"/>
      <c r="B132" s="126"/>
      <c r="C132" s="30" t="str">
        <f>"PXIe-7820R/DIO" &amp; D132</f>
        <v>PXIe-7820R/DIO20</v>
      </c>
      <c r="D132" s="30">
        <f t="shared" si="62"/>
        <v>20</v>
      </c>
      <c r="E132" s="30" t="str">
        <f t="shared" si="63"/>
        <v>FPGA DO (PWM Gen.)</v>
      </c>
      <c r="F132" s="30" t="str">
        <f t="shared" si="63"/>
        <v>PWM_FR</v>
      </c>
      <c r="G132" s="3" t="str">
        <f t="shared" si="56"/>
        <v>ATE/IO21/PWM_FR</v>
      </c>
      <c r="H132" s="36" t="str">
        <f>Paths!$B$2 &amp; I132 &amp; Paths!$B$6</f>
        <v>Targets/Controller/Custom Devices/FPGA Addon/Scalars/Scalar Outputs/PWM.Out.IO21/FREQ</v>
      </c>
      <c r="I132" s="33" t="str">
        <f>"IO" &amp; A131</f>
        <v>IO21</v>
      </c>
      <c r="J132" s="104"/>
      <c r="K132" s="145"/>
      <c r="L132" s="129"/>
      <c r="M132" s="132"/>
      <c r="N132" s="135"/>
    </row>
    <row r="133" spans="1:14" x14ac:dyDescent="0.45">
      <c r="A133" s="98"/>
      <c r="B133" s="126"/>
      <c r="C133" s="30" t="str">
        <f>"PXIe-7820R/DIO" &amp; D133</f>
        <v>PXIe-7820R/DIO20</v>
      </c>
      <c r="D133" s="30">
        <f t="shared" si="62"/>
        <v>20</v>
      </c>
      <c r="E133" s="30" t="str">
        <f t="shared" ref="E133:F133" si="64">E125</f>
        <v>FPGA DO (PWM Gen.)</v>
      </c>
      <c r="F133" s="30" t="str">
        <f t="shared" si="64"/>
        <v>PWM_DC</v>
      </c>
      <c r="G133" s="3" t="str">
        <f t="shared" si="56"/>
        <v>ATE/IO21/PWM_DC</v>
      </c>
      <c r="H133" s="36" t="str">
        <f>Paths!$B$2 &amp; I133 &amp; Paths!$B$7</f>
        <v>Targets/Controller/Custom Devices/FPGA Addon/Scalars/Scalar Outputs/PWM.Out.IO21/DC</v>
      </c>
      <c r="I133" s="33" t="str">
        <f>"IO" &amp; A131</f>
        <v>IO21</v>
      </c>
      <c r="J133" s="104"/>
      <c r="K133" s="145"/>
      <c r="L133" s="129"/>
      <c r="M133" s="132"/>
      <c r="N133" s="135"/>
    </row>
    <row r="134" spans="1:14" x14ac:dyDescent="0.45">
      <c r="A134" s="98"/>
      <c r="B134" s="126"/>
      <c r="C134" s="30" t="str">
        <f>"SLSC-12201-1/P" &amp; ROUNDDOWN(D134/8,0) &amp; "." &amp; MOD(D134,8)</f>
        <v>SLSC-12201-1/P2.4</v>
      </c>
      <c r="D134" s="30">
        <f t="shared" si="62"/>
        <v>20</v>
      </c>
      <c r="E134" s="30" t="str">
        <f t="shared" ref="E134:F134" si="65">E126</f>
        <v>Output Push-Pull</v>
      </c>
      <c r="F134" s="30" t="str">
        <f t="shared" si="65"/>
        <v>None</v>
      </c>
      <c r="G134" s="3" t="str">
        <f t="shared" si="56"/>
        <v>None</v>
      </c>
      <c r="H134" s="36" t="str">
        <f>Paths!$B$19 &amp; "Bank " &amp; ROUNDDOWN(D134/16,0) &amp; "/Port " &amp; ROUNDDOWN(D134/8,0) &amp; "/Line " &amp;MOD(D134,8) &amp;"/Direction"</f>
        <v>Targets/Controller/Hardware/SLSC/SLSC Chassis/Modules/Slot 8 (SLSC-12201 DIO)/Bank 1/Port 2/Line 4/Direction</v>
      </c>
      <c r="I134" s="33" t="str">
        <f>"IO" &amp; A131</f>
        <v>IO21</v>
      </c>
      <c r="J134" s="104"/>
      <c r="K134" s="145"/>
      <c r="L134" s="129"/>
      <c r="M134" s="132"/>
      <c r="N134" s="135"/>
    </row>
    <row r="135" spans="1:14" x14ac:dyDescent="0.45">
      <c r="A135" s="98"/>
      <c r="B135" s="126"/>
      <c r="C135" s="30" t="str">
        <f>"SLSC-AL3011-1/AO " &amp; D135</f>
        <v>SLSC-AL3011-1/AO 4</v>
      </c>
      <c r="D135" s="3">
        <f t="shared" si="62"/>
        <v>4</v>
      </c>
      <c r="E135" s="30" t="str">
        <f t="shared" ref="E135:F135" si="66">E127</f>
        <v>Resistance 10 Ω - 8 MΩ</v>
      </c>
      <c r="F135" s="30" t="str">
        <f t="shared" si="66"/>
        <v>TBD</v>
      </c>
      <c r="G135" s="3" t="str">
        <f t="shared" si="56"/>
        <v>None</v>
      </c>
      <c r="H135" s="41" t="s">
        <v>28</v>
      </c>
      <c r="I135" s="33" t="str">
        <f>"IO" &amp; A131</f>
        <v>IO21</v>
      </c>
      <c r="J135" s="104"/>
      <c r="K135" s="145"/>
      <c r="L135" s="129"/>
      <c r="M135" s="132"/>
      <c r="N135" s="135"/>
    </row>
    <row r="136" spans="1:14" x14ac:dyDescent="0.45">
      <c r="A136" s="98"/>
      <c r="B136" s="126"/>
      <c r="C136" s="30" t="str">
        <f>"PXI 10-100-001/SPDT" &amp; D136</f>
        <v>PXI 10-100-001/SPDT25</v>
      </c>
      <c r="D136" s="30">
        <f>D129+1</f>
        <v>25</v>
      </c>
      <c r="E136" s="30" t="str">
        <f t="shared" ref="E136:F136" si="67">E128</f>
        <v>DO (SPDT)</v>
      </c>
      <c r="F136" s="30" t="str">
        <f t="shared" si="67"/>
        <v>Select_DO_or_AOR</v>
      </c>
      <c r="G136" s="3" t="str">
        <f t="shared" si="56"/>
        <v>ATE/IO21/Select_DO_or_AOR</v>
      </c>
      <c r="H136" s="41" t="str">
        <f>Paths!$B$12 &amp; D136</f>
        <v>Targets/Controller/Custom Devices/PickeringSwitching/Subunit1/Switch1_25</v>
      </c>
      <c r="I136" s="33" t="str">
        <f>"IO" &amp; A131</f>
        <v>IO21</v>
      </c>
      <c r="J136" s="104"/>
      <c r="K136" s="145"/>
      <c r="L136" s="129"/>
      <c r="M136" s="132"/>
      <c r="N136" s="135"/>
    </row>
    <row r="137" spans="1:14" x14ac:dyDescent="0.45">
      <c r="A137" s="98"/>
      <c r="B137" s="126"/>
      <c r="C137" s="30" t="str">
        <f>"PXI 10-100-001/SPDT" &amp; D137</f>
        <v>PXI 10-100-001/SPDT26</v>
      </c>
      <c r="D137" s="30">
        <f>D136+1</f>
        <v>26</v>
      </c>
      <c r="E137" s="30" t="str">
        <f t="shared" ref="E137:F137" si="68">E129</f>
        <v>DO (SPDT)</v>
      </c>
      <c r="F137" s="30" t="str">
        <f t="shared" si="68"/>
        <v>Select_AOR</v>
      </c>
      <c r="G137" s="3" t="str">
        <f t="shared" si="56"/>
        <v>ATE/IO21/Select_AOR</v>
      </c>
      <c r="H137" s="41" t="str">
        <f>Paths!$B$12 &amp; D137</f>
        <v>Targets/Controller/Custom Devices/PickeringSwitching/Subunit1/Switch1_26</v>
      </c>
      <c r="I137" s="33" t="str">
        <f>"IO" &amp; A131</f>
        <v>IO21</v>
      </c>
      <c r="J137" s="104"/>
      <c r="K137" s="145"/>
      <c r="L137" s="147"/>
      <c r="M137" s="148"/>
      <c r="N137" s="149"/>
    </row>
    <row r="138" spans="1:14" ht="14.65" thickBot="1" x14ac:dyDescent="0.5">
      <c r="A138" s="99"/>
      <c r="B138" s="127"/>
      <c r="C138" s="31" t="str">
        <f>"PXI-2510-1/dut" &amp; D138</f>
        <v>PXI-2510-1/dut20</v>
      </c>
      <c r="D138" s="31">
        <f t="shared" ref="D138:D143" si="69">D130+1</f>
        <v>20</v>
      </c>
      <c r="E138" s="5" t="str">
        <f t="shared" ref="E138:F140" si="70">E130</f>
        <v>FIU</v>
      </c>
      <c r="F138" s="31" t="str">
        <f t="shared" si="70"/>
        <v>TBD</v>
      </c>
      <c r="G138" s="5" t="str">
        <f t="shared" si="56"/>
        <v>None</v>
      </c>
      <c r="H138" s="42" t="s">
        <v>28</v>
      </c>
      <c r="I138" s="19" t="str">
        <f>"IO" &amp; A131</f>
        <v>IO21</v>
      </c>
      <c r="J138" s="105"/>
      <c r="K138" s="146"/>
      <c r="L138" s="130"/>
      <c r="M138" s="133"/>
      <c r="N138" s="136"/>
    </row>
    <row r="139" spans="1:14" ht="15" customHeight="1" x14ac:dyDescent="0.45">
      <c r="A139" s="97">
        <f>A131+1</f>
        <v>22</v>
      </c>
      <c r="B139" s="100" t="str">
        <f>B131</f>
        <v>AO/DO
AO U: 0-10 V
AO R: 10 Ω - 8 MΩ
DO: 0-Vsup</v>
      </c>
      <c r="C139" s="29" t="str">
        <f>"PXIe-6738/AO" &amp; D139</f>
        <v>PXIe-6738/AO21</v>
      </c>
      <c r="D139" s="29">
        <f t="shared" si="69"/>
        <v>21</v>
      </c>
      <c r="E139" s="29" t="str">
        <f t="shared" si="70"/>
        <v>Voltage out 0-10 V</v>
      </c>
      <c r="F139" s="29" t="str">
        <f t="shared" si="70"/>
        <v>AO</v>
      </c>
      <c r="G139" s="8" t="str">
        <f t="shared" si="56"/>
        <v>ATE/IO22/AO</v>
      </c>
      <c r="H139" s="39" t="str">
        <f>Paths!$B$26 &amp; D139</f>
        <v>Targets/Controller/Hardware/Chassis/DAQ/PXI1Slot15/Analog Output/AO21</v>
      </c>
      <c r="I139" s="32" t="str">
        <f>"IO" &amp; A139</f>
        <v>IO22</v>
      </c>
      <c r="J139" s="103" t="s">
        <v>6</v>
      </c>
      <c r="K139" s="144" t="s">
        <v>7</v>
      </c>
      <c r="L139" s="128"/>
      <c r="M139" s="131"/>
      <c r="N139" s="134"/>
    </row>
    <row r="140" spans="1:14" ht="15" customHeight="1" x14ac:dyDescent="0.45">
      <c r="A140" s="98"/>
      <c r="B140" s="126"/>
      <c r="C140" s="30" t="str">
        <f>"PXIe-7820R/DIO" &amp; D140</f>
        <v>PXIe-7820R/DIO21</v>
      </c>
      <c r="D140" s="30">
        <f t="shared" si="69"/>
        <v>21</v>
      </c>
      <c r="E140" s="30" t="str">
        <f t="shared" si="70"/>
        <v>FPGA DO (PWM Gen.)</v>
      </c>
      <c r="F140" s="30" t="str">
        <f t="shared" si="70"/>
        <v>PWM_FR</v>
      </c>
      <c r="G140" s="3" t="str">
        <f t="shared" si="56"/>
        <v>ATE/IO22/PWM_FR</v>
      </c>
      <c r="H140" s="36" t="str">
        <f>Paths!$B$2 &amp; I140 &amp; Paths!$B$6</f>
        <v>Targets/Controller/Custom Devices/FPGA Addon/Scalars/Scalar Outputs/PWM.Out.IO22/FREQ</v>
      </c>
      <c r="I140" s="33" t="str">
        <f>"IO" &amp; A139</f>
        <v>IO22</v>
      </c>
      <c r="J140" s="104"/>
      <c r="K140" s="145"/>
      <c r="L140" s="129"/>
      <c r="M140" s="132"/>
      <c r="N140" s="135"/>
    </row>
    <row r="141" spans="1:14" x14ac:dyDescent="0.45">
      <c r="A141" s="98"/>
      <c r="B141" s="126"/>
      <c r="C141" s="30" t="str">
        <f>"PXIe-7820R/DIO" &amp; D141</f>
        <v>PXIe-7820R/DIO21</v>
      </c>
      <c r="D141" s="30">
        <f t="shared" si="69"/>
        <v>21</v>
      </c>
      <c r="E141" s="30" t="str">
        <f t="shared" ref="E141:F141" si="71">E133</f>
        <v>FPGA DO (PWM Gen.)</v>
      </c>
      <c r="F141" s="30" t="str">
        <f t="shared" si="71"/>
        <v>PWM_DC</v>
      </c>
      <c r="G141" s="3" t="str">
        <f t="shared" si="56"/>
        <v>ATE/IO22/PWM_DC</v>
      </c>
      <c r="H141" s="36" t="str">
        <f>Paths!$B$2 &amp; I141 &amp; Paths!$B$7</f>
        <v>Targets/Controller/Custom Devices/FPGA Addon/Scalars/Scalar Outputs/PWM.Out.IO22/DC</v>
      </c>
      <c r="I141" s="33" t="str">
        <f>"IO" &amp; A139</f>
        <v>IO22</v>
      </c>
      <c r="J141" s="104"/>
      <c r="K141" s="145"/>
      <c r="L141" s="129"/>
      <c r="M141" s="132"/>
      <c r="N141" s="135"/>
    </row>
    <row r="142" spans="1:14" x14ac:dyDescent="0.45">
      <c r="A142" s="98"/>
      <c r="B142" s="126"/>
      <c r="C142" s="30" t="str">
        <f>"SLSC-12201-1/P" &amp; ROUNDDOWN(D142/8,0) &amp; "." &amp; MOD(D142,8)</f>
        <v>SLSC-12201-1/P2.5</v>
      </c>
      <c r="D142" s="30">
        <f t="shared" si="69"/>
        <v>21</v>
      </c>
      <c r="E142" s="30" t="str">
        <f t="shared" ref="E142:F142" si="72">E134</f>
        <v>Output Push-Pull</v>
      </c>
      <c r="F142" s="30" t="str">
        <f t="shared" si="72"/>
        <v>None</v>
      </c>
      <c r="G142" s="3" t="str">
        <f t="shared" si="56"/>
        <v>None</v>
      </c>
      <c r="H142" s="36" t="str">
        <f>Paths!$B$19 &amp; "Bank " &amp; ROUNDDOWN(D142/16,0) &amp; "/Port " &amp; ROUNDDOWN(D142/8,0) &amp; "/Line " &amp;MOD(D142,8) &amp;"/Direction"</f>
        <v>Targets/Controller/Hardware/SLSC/SLSC Chassis/Modules/Slot 8 (SLSC-12201 DIO)/Bank 1/Port 2/Line 5/Direction</v>
      </c>
      <c r="I142" s="33" t="str">
        <f>"IO" &amp; A139</f>
        <v>IO22</v>
      </c>
      <c r="J142" s="104"/>
      <c r="K142" s="145"/>
      <c r="L142" s="129"/>
      <c r="M142" s="132"/>
      <c r="N142" s="135"/>
    </row>
    <row r="143" spans="1:14" x14ac:dyDescent="0.45">
      <c r="A143" s="98"/>
      <c r="B143" s="126"/>
      <c r="C143" s="30" t="str">
        <f>"SLSC-AL3011-1/AO " &amp; D143</f>
        <v>SLSC-AL3011-1/AO 5</v>
      </c>
      <c r="D143" s="3">
        <f t="shared" si="69"/>
        <v>5</v>
      </c>
      <c r="E143" s="30" t="str">
        <f t="shared" ref="E143:F143" si="73">E135</f>
        <v>Resistance 10 Ω - 8 MΩ</v>
      </c>
      <c r="F143" s="30" t="str">
        <f t="shared" si="73"/>
        <v>TBD</v>
      </c>
      <c r="G143" s="3" t="str">
        <f t="shared" si="56"/>
        <v>None</v>
      </c>
      <c r="H143" s="41" t="s">
        <v>28</v>
      </c>
      <c r="I143" s="33" t="str">
        <f>"IO" &amp; A139</f>
        <v>IO22</v>
      </c>
      <c r="J143" s="104"/>
      <c r="K143" s="145"/>
      <c r="L143" s="129"/>
      <c r="M143" s="132"/>
      <c r="N143" s="135"/>
    </row>
    <row r="144" spans="1:14" x14ac:dyDescent="0.45">
      <c r="A144" s="98"/>
      <c r="B144" s="126"/>
      <c r="C144" s="30" t="str">
        <f>"PXI 10-100-001/SPDT" &amp; D144</f>
        <v>PXI 10-100-001/SPDT27</v>
      </c>
      <c r="D144" s="30">
        <f>D137+1</f>
        <v>27</v>
      </c>
      <c r="E144" s="30" t="str">
        <f t="shared" ref="E144:F144" si="74">E136</f>
        <v>DO (SPDT)</v>
      </c>
      <c r="F144" s="30" t="str">
        <f t="shared" si="74"/>
        <v>Select_DO_or_AOR</v>
      </c>
      <c r="G144" s="3" t="str">
        <f t="shared" si="56"/>
        <v>ATE/IO22/Select_DO_or_AOR</v>
      </c>
      <c r="H144" s="41" t="str">
        <f>Paths!$B$12 &amp; D144</f>
        <v>Targets/Controller/Custom Devices/PickeringSwitching/Subunit1/Switch1_27</v>
      </c>
      <c r="I144" s="33" t="str">
        <f>"IO" &amp; A139</f>
        <v>IO22</v>
      </c>
      <c r="J144" s="104"/>
      <c r="K144" s="145"/>
      <c r="L144" s="129"/>
      <c r="M144" s="132"/>
      <c r="N144" s="135"/>
    </row>
    <row r="145" spans="1:14" x14ac:dyDescent="0.45">
      <c r="A145" s="98"/>
      <c r="B145" s="126"/>
      <c r="C145" s="30" t="str">
        <f>"PXI 10-100-001/SPDT" &amp; D145</f>
        <v>PXI 10-100-001/SPDT28</v>
      </c>
      <c r="D145" s="30">
        <f>D144+1</f>
        <v>28</v>
      </c>
      <c r="E145" s="30" t="str">
        <f t="shared" ref="E145:F145" si="75">E137</f>
        <v>DO (SPDT)</v>
      </c>
      <c r="F145" s="30" t="str">
        <f t="shared" si="75"/>
        <v>Select_AOR</v>
      </c>
      <c r="G145" s="3" t="str">
        <f t="shared" si="56"/>
        <v>ATE/IO22/Select_AOR</v>
      </c>
      <c r="H145" s="41" t="str">
        <f>Paths!$B$12 &amp; D145</f>
        <v>Targets/Controller/Custom Devices/PickeringSwitching/Subunit1/Switch1_28</v>
      </c>
      <c r="I145" s="33" t="str">
        <f>"IO" &amp; A139</f>
        <v>IO22</v>
      </c>
      <c r="J145" s="104"/>
      <c r="K145" s="145"/>
      <c r="L145" s="147"/>
      <c r="M145" s="148"/>
      <c r="N145" s="149"/>
    </row>
    <row r="146" spans="1:14" ht="14.65" thickBot="1" x14ac:dyDescent="0.5">
      <c r="A146" s="99"/>
      <c r="B146" s="127"/>
      <c r="C146" s="31" t="str">
        <f>"PXI-2510-1/dut" &amp; D146</f>
        <v>PXI-2510-1/dut21</v>
      </c>
      <c r="D146" s="31">
        <f t="shared" ref="D146:D151" si="76">D138+1</f>
        <v>21</v>
      </c>
      <c r="E146" s="5" t="str">
        <f t="shared" ref="E146:F148" si="77">E138</f>
        <v>FIU</v>
      </c>
      <c r="F146" s="31" t="str">
        <f t="shared" si="77"/>
        <v>TBD</v>
      </c>
      <c r="G146" s="5" t="str">
        <f t="shared" si="56"/>
        <v>None</v>
      </c>
      <c r="H146" s="42" t="s">
        <v>28</v>
      </c>
      <c r="I146" s="19" t="str">
        <f>"IO" &amp; A139</f>
        <v>IO22</v>
      </c>
      <c r="J146" s="105"/>
      <c r="K146" s="146"/>
      <c r="L146" s="130"/>
      <c r="M146" s="133"/>
      <c r="N146" s="136"/>
    </row>
    <row r="147" spans="1:14" ht="15" customHeight="1" x14ac:dyDescent="0.45">
      <c r="A147" s="97">
        <f>A139+1</f>
        <v>23</v>
      </c>
      <c r="B147" s="100" t="str">
        <f>B139</f>
        <v>AO/DO
AO U: 0-10 V
AO R: 10 Ω - 8 MΩ
DO: 0-Vsup</v>
      </c>
      <c r="C147" s="29" t="str">
        <f>"PXIe-6738/AO" &amp; D147</f>
        <v>PXIe-6738/AO22</v>
      </c>
      <c r="D147" s="29">
        <f t="shared" si="76"/>
        <v>22</v>
      </c>
      <c r="E147" s="29" t="str">
        <f t="shared" si="77"/>
        <v>Voltage out 0-10 V</v>
      </c>
      <c r="F147" s="29" t="str">
        <f t="shared" si="77"/>
        <v>AO</v>
      </c>
      <c r="G147" s="8" t="str">
        <f t="shared" ref="G147:G178" si="78">IF(OR(F147="None",F147="TBD"),"None",_xlfn.CONCAT("ATE/",I147,"/",F147))</f>
        <v>ATE/IO23/AO</v>
      </c>
      <c r="H147" s="39" t="str">
        <f>Paths!$B$26 &amp; D147</f>
        <v>Targets/Controller/Hardware/Chassis/DAQ/PXI1Slot15/Analog Output/AO22</v>
      </c>
      <c r="I147" s="32" t="str">
        <f>"IO" &amp; A147</f>
        <v>IO23</v>
      </c>
      <c r="J147" s="103" t="s">
        <v>6</v>
      </c>
      <c r="K147" s="144" t="s">
        <v>7</v>
      </c>
      <c r="L147" s="128"/>
      <c r="M147" s="131"/>
      <c r="N147" s="134"/>
    </row>
    <row r="148" spans="1:14" ht="15" customHeight="1" x14ac:dyDescent="0.45">
      <c r="A148" s="98"/>
      <c r="B148" s="126"/>
      <c r="C148" s="30" t="str">
        <f>"PXIe-7820R/DIO" &amp; D148</f>
        <v>PXIe-7820R/DIO22</v>
      </c>
      <c r="D148" s="30">
        <f t="shared" si="76"/>
        <v>22</v>
      </c>
      <c r="E148" s="30" t="str">
        <f t="shared" si="77"/>
        <v>FPGA DO (PWM Gen.)</v>
      </c>
      <c r="F148" s="30" t="str">
        <f t="shared" si="77"/>
        <v>PWM_FR</v>
      </c>
      <c r="G148" s="3" t="str">
        <f t="shared" si="78"/>
        <v>ATE/IO23/PWM_FR</v>
      </c>
      <c r="H148" s="36" t="str">
        <f>Paths!$B$2 &amp; I148 &amp; Paths!$B$6</f>
        <v>Targets/Controller/Custom Devices/FPGA Addon/Scalars/Scalar Outputs/PWM.Out.IO23/FREQ</v>
      </c>
      <c r="I148" s="33" t="str">
        <f>"IO" &amp; A147</f>
        <v>IO23</v>
      </c>
      <c r="J148" s="104"/>
      <c r="K148" s="145"/>
      <c r="L148" s="129"/>
      <c r="M148" s="132"/>
      <c r="N148" s="135"/>
    </row>
    <row r="149" spans="1:14" x14ac:dyDescent="0.45">
      <c r="A149" s="98"/>
      <c r="B149" s="126"/>
      <c r="C149" s="30" t="str">
        <f>"PXIe-7820R/DIO" &amp; D149</f>
        <v>PXIe-7820R/DIO22</v>
      </c>
      <c r="D149" s="30">
        <f t="shared" si="76"/>
        <v>22</v>
      </c>
      <c r="E149" s="30" t="str">
        <f t="shared" ref="E149:F149" si="79">E141</f>
        <v>FPGA DO (PWM Gen.)</v>
      </c>
      <c r="F149" s="30" t="str">
        <f t="shared" si="79"/>
        <v>PWM_DC</v>
      </c>
      <c r="G149" s="3" t="str">
        <f t="shared" si="78"/>
        <v>ATE/IO23/PWM_DC</v>
      </c>
      <c r="H149" s="36" t="str">
        <f>Paths!$B$2 &amp; I149 &amp; Paths!$B$7</f>
        <v>Targets/Controller/Custom Devices/FPGA Addon/Scalars/Scalar Outputs/PWM.Out.IO23/DC</v>
      </c>
      <c r="I149" s="33" t="str">
        <f>"IO" &amp; A147</f>
        <v>IO23</v>
      </c>
      <c r="J149" s="104"/>
      <c r="K149" s="145"/>
      <c r="L149" s="129"/>
      <c r="M149" s="132"/>
      <c r="N149" s="135"/>
    </row>
    <row r="150" spans="1:14" x14ac:dyDescent="0.45">
      <c r="A150" s="98"/>
      <c r="B150" s="126"/>
      <c r="C150" s="30" t="str">
        <f>"SLSC-12201-1/P" &amp; ROUNDDOWN(D150/8,0) &amp; "." &amp; MOD(D150,8)</f>
        <v>SLSC-12201-1/P2.6</v>
      </c>
      <c r="D150" s="30">
        <f t="shared" si="76"/>
        <v>22</v>
      </c>
      <c r="E150" s="30" t="str">
        <f t="shared" ref="E150:F150" si="80">E142</f>
        <v>Output Push-Pull</v>
      </c>
      <c r="F150" s="30" t="str">
        <f t="shared" si="80"/>
        <v>None</v>
      </c>
      <c r="G150" s="3" t="str">
        <f t="shared" si="78"/>
        <v>None</v>
      </c>
      <c r="H150" s="36" t="str">
        <f>Paths!$B$19 &amp; "Bank " &amp; ROUNDDOWN(D150/16,0) &amp; "/Port " &amp; ROUNDDOWN(D150/8,0) &amp; "/Line " &amp;MOD(D150,8) &amp;"/Direction"</f>
        <v>Targets/Controller/Hardware/SLSC/SLSC Chassis/Modules/Slot 8 (SLSC-12201 DIO)/Bank 1/Port 2/Line 6/Direction</v>
      </c>
      <c r="I150" s="33" t="str">
        <f>"IO" &amp; A147</f>
        <v>IO23</v>
      </c>
      <c r="J150" s="104"/>
      <c r="K150" s="145"/>
      <c r="L150" s="129"/>
      <c r="M150" s="132"/>
      <c r="N150" s="135"/>
    </row>
    <row r="151" spans="1:14" x14ac:dyDescent="0.45">
      <c r="A151" s="98"/>
      <c r="B151" s="126"/>
      <c r="C151" s="30" t="str">
        <f>"SLSC-AL3011-1/AO " &amp; D151</f>
        <v>SLSC-AL3011-1/AO 6</v>
      </c>
      <c r="D151" s="3">
        <f t="shared" si="76"/>
        <v>6</v>
      </c>
      <c r="E151" s="30" t="str">
        <f t="shared" ref="E151:F151" si="81">E143</f>
        <v>Resistance 10 Ω - 8 MΩ</v>
      </c>
      <c r="F151" s="30" t="str">
        <f t="shared" si="81"/>
        <v>TBD</v>
      </c>
      <c r="G151" s="3" t="str">
        <f t="shared" si="78"/>
        <v>None</v>
      </c>
      <c r="H151" s="41" t="s">
        <v>28</v>
      </c>
      <c r="I151" s="33" t="str">
        <f>"IO" &amp; A147</f>
        <v>IO23</v>
      </c>
      <c r="J151" s="104"/>
      <c r="K151" s="145"/>
      <c r="L151" s="129"/>
      <c r="M151" s="132"/>
      <c r="N151" s="135"/>
    </row>
    <row r="152" spans="1:14" x14ac:dyDescent="0.45">
      <c r="A152" s="98"/>
      <c r="B152" s="126"/>
      <c r="C152" s="30" t="str">
        <f>"PXI 10-100-001/SPDT" &amp; D152</f>
        <v>PXI 10-100-001/SPDT29</v>
      </c>
      <c r="D152" s="30">
        <f>D145+1</f>
        <v>29</v>
      </c>
      <c r="E152" s="30" t="str">
        <f t="shared" ref="E152:F152" si="82">E144</f>
        <v>DO (SPDT)</v>
      </c>
      <c r="F152" s="30" t="str">
        <f t="shared" si="82"/>
        <v>Select_DO_or_AOR</v>
      </c>
      <c r="G152" s="3" t="str">
        <f t="shared" si="78"/>
        <v>ATE/IO23/Select_DO_or_AOR</v>
      </c>
      <c r="H152" s="41" t="str">
        <f>Paths!$B$12 &amp; D152</f>
        <v>Targets/Controller/Custom Devices/PickeringSwitching/Subunit1/Switch1_29</v>
      </c>
      <c r="I152" s="33" t="str">
        <f>"IO" &amp; A147</f>
        <v>IO23</v>
      </c>
      <c r="J152" s="104"/>
      <c r="K152" s="145"/>
      <c r="L152" s="129"/>
      <c r="M152" s="132"/>
      <c r="N152" s="135"/>
    </row>
    <row r="153" spans="1:14" x14ac:dyDescent="0.45">
      <c r="A153" s="98"/>
      <c r="B153" s="126"/>
      <c r="C153" s="30" t="str">
        <f>"PXI 10-100-001/SPDT" &amp; D153</f>
        <v>PXI 10-100-001/SPDT30</v>
      </c>
      <c r="D153" s="30">
        <f>D152+1</f>
        <v>30</v>
      </c>
      <c r="E153" s="30" t="str">
        <f t="shared" ref="E153:F153" si="83">E145</f>
        <v>DO (SPDT)</v>
      </c>
      <c r="F153" s="30" t="str">
        <f t="shared" si="83"/>
        <v>Select_AOR</v>
      </c>
      <c r="G153" s="3" t="str">
        <f t="shared" si="78"/>
        <v>ATE/IO23/Select_AOR</v>
      </c>
      <c r="H153" s="41" t="str">
        <f>Paths!$B$12 &amp; D153</f>
        <v>Targets/Controller/Custom Devices/PickeringSwitching/Subunit1/Switch1_30</v>
      </c>
      <c r="I153" s="33" t="str">
        <f>"IO" &amp; A147</f>
        <v>IO23</v>
      </c>
      <c r="J153" s="104"/>
      <c r="K153" s="145"/>
      <c r="L153" s="147"/>
      <c r="M153" s="148"/>
      <c r="N153" s="149"/>
    </row>
    <row r="154" spans="1:14" ht="14.65" thickBot="1" x14ac:dyDescent="0.5">
      <c r="A154" s="99"/>
      <c r="B154" s="127"/>
      <c r="C154" s="31" t="str">
        <f>"PXI-2510-1/dut" &amp; D154</f>
        <v>PXI-2510-1/dut22</v>
      </c>
      <c r="D154" s="31">
        <f t="shared" ref="D154:D159" si="84">D146+1</f>
        <v>22</v>
      </c>
      <c r="E154" s="5" t="str">
        <f t="shared" ref="E154:F156" si="85">E146</f>
        <v>FIU</v>
      </c>
      <c r="F154" s="31" t="str">
        <f t="shared" si="85"/>
        <v>TBD</v>
      </c>
      <c r="G154" s="5" t="str">
        <f t="shared" si="78"/>
        <v>None</v>
      </c>
      <c r="H154" s="42" t="s">
        <v>28</v>
      </c>
      <c r="I154" s="19" t="str">
        <f>"IO" &amp; A147</f>
        <v>IO23</v>
      </c>
      <c r="J154" s="105"/>
      <c r="K154" s="146"/>
      <c r="L154" s="130"/>
      <c r="M154" s="133"/>
      <c r="N154" s="136"/>
    </row>
    <row r="155" spans="1:14" ht="15" customHeight="1" x14ac:dyDescent="0.45">
      <c r="A155" s="97">
        <f>A147+1</f>
        <v>24</v>
      </c>
      <c r="B155" s="100" t="str">
        <f>B147</f>
        <v>AO/DO
AO U: 0-10 V
AO R: 10 Ω - 8 MΩ
DO: 0-Vsup</v>
      </c>
      <c r="C155" s="29" t="str">
        <f>"PXIe-6738/AO" &amp; D155</f>
        <v>PXIe-6738/AO23</v>
      </c>
      <c r="D155" s="29">
        <f t="shared" si="84"/>
        <v>23</v>
      </c>
      <c r="E155" s="29" t="str">
        <f t="shared" si="85"/>
        <v>Voltage out 0-10 V</v>
      </c>
      <c r="F155" s="29" t="str">
        <f t="shared" si="85"/>
        <v>AO</v>
      </c>
      <c r="G155" s="8" t="str">
        <f t="shared" si="78"/>
        <v>ATE/IO24/AO</v>
      </c>
      <c r="H155" s="39" t="str">
        <f>Paths!$B$26 &amp; D155</f>
        <v>Targets/Controller/Hardware/Chassis/DAQ/PXI1Slot15/Analog Output/AO23</v>
      </c>
      <c r="I155" s="32" t="str">
        <f>"IO" &amp; A155</f>
        <v>IO24</v>
      </c>
      <c r="J155" s="103" t="s">
        <v>6</v>
      </c>
      <c r="K155" s="144" t="s">
        <v>7</v>
      </c>
      <c r="L155" s="128"/>
      <c r="M155" s="131"/>
      <c r="N155" s="134"/>
    </row>
    <row r="156" spans="1:14" ht="15" customHeight="1" x14ac:dyDescent="0.45">
      <c r="A156" s="98"/>
      <c r="B156" s="126"/>
      <c r="C156" s="30" t="str">
        <f>"PXIe-7820R/DIO" &amp; D156</f>
        <v>PXIe-7820R/DIO23</v>
      </c>
      <c r="D156" s="30">
        <f t="shared" si="84"/>
        <v>23</v>
      </c>
      <c r="E156" s="30" t="str">
        <f t="shared" si="85"/>
        <v>FPGA DO (PWM Gen.)</v>
      </c>
      <c r="F156" s="30" t="str">
        <f t="shared" si="85"/>
        <v>PWM_FR</v>
      </c>
      <c r="G156" s="3" t="str">
        <f t="shared" si="78"/>
        <v>ATE/IO24/PWM_FR</v>
      </c>
      <c r="H156" s="36" t="str">
        <f>Paths!$B$2 &amp; I156 &amp; Paths!$B$6</f>
        <v>Targets/Controller/Custom Devices/FPGA Addon/Scalars/Scalar Outputs/PWM.Out.IO24/FREQ</v>
      </c>
      <c r="I156" s="33" t="str">
        <f>"IO" &amp; A155</f>
        <v>IO24</v>
      </c>
      <c r="J156" s="104"/>
      <c r="K156" s="145"/>
      <c r="L156" s="129"/>
      <c r="M156" s="132"/>
      <c r="N156" s="135"/>
    </row>
    <row r="157" spans="1:14" x14ac:dyDescent="0.45">
      <c r="A157" s="98"/>
      <c r="B157" s="126"/>
      <c r="C157" s="30" t="str">
        <f>"PXIe-7820R/DIO" &amp; D157</f>
        <v>PXIe-7820R/DIO23</v>
      </c>
      <c r="D157" s="30">
        <f t="shared" si="84"/>
        <v>23</v>
      </c>
      <c r="E157" s="30" t="str">
        <f t="shared" ref="E157:F157" si="86">E149</f>
        <v>FPGA DO (PWM Gen.)</v>
      </c>
      <c r="F157" s="30" t="str">
        <f t="shared" si="86"/>
        <v>PWM_DC</v>
      </c>
      <c r="G157" s="3" t="str">
        <f t="shared" si="78"/>
        <v>ATE/IO24/PWM_DC</v>
      </c>
      <c r="H157" s="36" t="str">
        <f>Paths!$B$2 &amp; I157 &amp; Paths!$B$7</f>
        <v>Targets/Controller/Custom Devices/FPGA Addon/Scalars/Scalar Outputs/PWM.Out.IO24/DC</v>
      </c>
      <c r="I157" s="33" t="str">
        <f>"IO" &amp; A155</f>
        <v>IO24</v>
      </c>
      <c r="J157" s="104"/>
      <c r="K157" s="145"/>
      <c r="L157" s="129"/>
      <c r="M157" s="132"/>
      <c r="N157" s="135"/>
    </row>
    <row r="158" spans="1:14" x14ac:dyDescent="0.45">
      <c r="A158" s="98"/>
      <c r="B158" s="126"/>
      <c r="C158" s="30" t="str">
        <f>"SLSC-12201-1/P" &amp; ROUNDDOWN(D158/8,0) &amp; "." &amp; MOD(D158,8)</f>
        <v>SLSC-12201-1/P2.7</v>
      </c>
      <c r="D158" s="30">
        <f t="shared" si="84"/>
        <v>23</v>
      </c>
      <c r="E158" s="30" t="str">
        <f t="shared" ref="E158:F158" si="87">E150</f>
        <v>Output Push-Pull</v>
      </c>
      <c r="F158" s="30" t="str">
        <f t="shared" si="87"/>
        <v>None</v>
      </c>
      <c r="G158" s="3" t="str">
        <f t="shared" si="78"/>
        <v>None</v>
      </c>
      <c r="H158" s="36" t="str">
        <f>Paths!$B$19 &amp; "Bank " &amp; ROUNDDOWN(D158/16,0) &amp; "/Port " &amp; ROUNDDOWN(D158/8,0) &amp; "/Line " &amp;MOD(D158,8) &amp;"/Direction"</f>
        <v>Targets/Controller/Hardware/SLSC/SLSC Chassis/Modules/Slot 8 (SLSC-12201 DIO)/Bank 1/Port 2/Line 7/Direction</v>
      </c>
      <c r="I158" s="33" t="str">
        <f>"IO" &amp; A155</f>
        <v>IO24</v>
      </c>
      <c r="J158" s="104"/>
      <c r="K158" s="145"/>
      <c r="L158" s="129"/>
      <c r="M158" s="132"/>
      <c r="N158" s="135"/>
    </row>
    <row r="159" spans="1:14" x14ac:dyDescent="0.45">
      <c r="A159" s="98"/>
      <c r="B159" s="126"/>
      <c r="C159" s="30" t="str">
        <f>"SLSC-AL3011-1/AO " &amp; D159</f>
        <v>SLSC-AL3011-1/AO 7</v>
      </c>
      <c r="D159" s="3">
        <f t="shared" si="84"/>
        <v>7</v>
      </c>
      <c r="E159" s="30" t="str">
        <f t="shared" ref="E159:F159" si="88">E151</f>
        <v>Resistance 10 Ω - 8 MΩ</v>
      </c>
      <c r="F159" s="30" t="str">
        <f t="shared" si="88"/>
        <v>TBD</v>
      </c>
      <c r="G159" s="3" t="str">
        <f t="shared" si="78"/>
        <v>None</v>
      </c>
      <c r="H159" s="41" t="s">
        <v>28</v>
      </c>
      <c r="I159" s="33" t="str">
        <f>"IO" &amp; A155</f>
        <v>IO24</v>
      </c>
      <c r="J159" s="104"/>
      <c r="K159" s="145"/>
      <c r="L159" s="129"/>
      <c r="M159" s="132"/>
      <c r="N159" s="135"/>
    </row>
    <row r="160" spans="1:14" x14ac:dyDescent="0.45">
      <c r="A160" s="98"/>
      <c r="B160" s="126"/>
      <c r="C160" s="30" t="str">
        <f>"PXI 10-100-001/SPDT" &amp; D160</f>
        <v>PXI 10-100-001/SPDT31</v>
      </c>
      <c r="D160" s="30">
        <f>D153+1</f>
        <v>31</v>
      </c>
      <c r="E160" s="30" t="str">
        <f t="shared" ref="E160:F160" si="89">E152</f>
        <v>DO (SPDT)</v>
      </c>
      <c r="F160" s="30" t="str">
        <f t="shared" si="89"/>
        <v>Select_DO_or_AOR</v>
      </c>
      <c r="G160" s="3" t="str">
        <f t="shared" si="78"/>
        <v>ATE/IO24/Select_DO_or_AOR</v>
      </c>
      <c r="H160" s="41" t="str">
        <f>Paths!$B$12 &amp; D160</f>
        <v>Targets/Controller/Custom Devices/PickeringSwitching/Subunit1/Switch1_31</v>
      </c>
      <c r="I160" s="33" t="str">
        <f>"IO" &amp; A155</f>
        <v>IO24</v>
      </c>
      <c r="J160" s="104"/>
      <c r="K160" s="145"/>
      <c r="L160" s="129"/>
      <c r="M160" s="132"/>
      <c r="N160" s="135"/>
    </row>
    <row r="161" spans="1:14" x14ac:dyDescent="0.45">
      <c r="A161" s="98"/>
      <c r="B161" s="126"/>
      <c r="C161" s="30" t="str">
        <f>"PXI 10-100-001/SPDT" &amp; D161</f>
        <v>PXI 10-100-001/SPDT32</v>
      </c>
      <c r="D161" s="30">
        <f>D160+1</f>
        <v>32</v>
      </c>
      <c r="E161" s="30" t="str">
        <f t="shared" ref="E161:F161" si="90">E153</f>
        <v>DO (SPDT)</v>
      </c>
      <c r="F161" s="30" t="str">
        <f t="shared" si="90"/>
        <v>Select_AOR</v>
      </c>
      <c r="G161" s="3" t="str">
        <f t="shared" si="78"/>
        <v>ATE/IO24/Select_AOR</v>
      </c>
      <c r="H161" s="41" t="str">
        <f>Paths!$B$12 &amp; D161</f>
        <v>Targets/Controller/Custom Devices/PickeringSwitching/Subunit1/Switch1_32</v>
      </c>
      <c r="I161" s="33" t="str">
        <f>"IO" &amp; A155</f>
        <v>IO24</v>
      </c>
      <c r="J161" s="104"/>
      <c r="K161" s="145"/>
      <c r="L161" s="147"/>
      <c r="M161" s="148"/>
      <c r="N161" s="149"/>
    </row>
    <row r="162" spans="1:14" ht="14.65" thickBot="1" x14ac:dyDescent="0.5">
      <c r="A162" s="99"/>
      <c r="B162" s="127"/>
      <c r="C162" s="31" t="str">
        <f>"PXI-2510-1/dut" &amp; D162</f>
        <v>PXI-2510-1/dut23</v>
      </c>
      <c r="D162" s="31">
        <f t="shared" ref="D162:D167" si="91">D154+1</f>
        <v>23</v>
      </c>
      <c r="E162" s="5" t="str">
        <f t="shared" ref="E162:F164" si="92">E154</f>
        <v>FIU</v>
      </c>
      <c r="F162" s="31" t="str">
        <f t="shared" si="92"/>
        <v>TBD</v>
      </c>
      <c r="G162" s="5" t="str">
        <f t="shared" si="78"/>
        <v>None</v>
      </c>
      <c r="H162" s="42" t="s">
        <v>28</v>
      </c>
      <c r="I162" s="19" t="str">
        <f>"IO" &amp; A155</f>
        <v>IO24</v>
      </c>
      <c r="J162" s="105"/>
      <c r="K162" s="146"/>
      <c r="L162" s="130"/>
      <c r="M162" s="133"/>
      <c r="N162" s="136"/>
    </row>
    <row r="163" spans="1:14" ht="15" customHeight="1" x14ac:dyDescent="0.45">
      <c r="A163" s="97">
        <f>A155+1</f>
        <v>25</v>
      </c>
      <c r="B163" s="100" t="str">
        <f>B155</f>
        <v>AO/DO
AO U: 0-10 V
AO R: 10 Ω - 8 MΩ
DO: 0-Vsup</v>
      </c>
      <c r="C163" s="29" t="str">
        <f>"PXIe-6738/AO" &amp; D163</f>
        <v>PXIe-6738/AO24</v>
      </c>
      <c r="D163" s="29">
        <f t="shared" si="91"/>
        <v>24</v>
      </c>
      <c r="E163" s="29" t="str">
        <f t="shared" si="92"/>
        <v>Voltage out 0-10 V</v>
      </c>
      <c r="F163" s="29" t="str">
        <f t="shared" si="92"/>
        <v>AO</v>
      </c>
      <c r="G163" s="8" t="str">
        <f t="shared" si="78"/>
        <v>ATE/IO25/AO</v>
      </c>
      <c r="H163" s="39" t="str">
        <f>Paths!$B$26 &amp; D163</f>
        <v>Targets/Controller/Hardware/Chassis/DAQ/PXI1Slot15/Analog Output/AO24</v>
      </c>
      <c r="I163" s="32" t="str">
        <f>"IO" &amp; A163</f>
        <v>IO25</v>
      </c>
      <c r="J163" s="103" t="s">
        <v>6</v>
      </c>
      <c r="K163" s="144" t="s">
        <v>7</v>
      </c>
      <c r="L163" s="128"/>
      <c r="M163" s="131"/>
      <c r="N163" s="134"/>
    </row>
    <row r="164" spans="1:14" ht="15" customHeight="1" x14ac:dyDescent="0.45">
      <c r="A164" s="98"/>
      <c r="B164" s="126"/>
      <c r="C164" s="30" t="str">
        <f>"PXIe-7820R/DIO" &amp; D164</f>
        <v>PXIe-7820R/DIO24</v>
      </c>
      <c r="D164" s="30">
        <f t="shared" si="91"/>
        <v>24</v>
      </c>
      <c r="E164" s="30" t="str">
        <f t="shared" si="92"/>
        <v>FPGA DO (PWM Gen.)</v>
      </c>
      <c r="F164" s="30" t="str">
        <f t="shared" si="92"/>
        <v>PWM_FR</v>
      </c>
      <c r="G164" s="3" t="str">
        <f t="shared" si="78"/>
        <v>ATE/IO25/PWM_FR</v>
      </c>
      <c r="H164" s="36" t="str">
        <f>Paths!$B$2 &amp; I164 &amp; Paths!$B$6</f>
        <v>Targets/Controller/Custom Devices/FPGA Addon/Scalars/Scalar Outputs/PWM.Out.IO25/FREQ</v>
      </c>
      <c r="I164" s="33" t="str">
        <f>"IO" &amp; A163</f>
        <v>IO25</v>
      </c>
      <c r="J164" s="104"/>
      <c r="K164" s="145"/>
      <c r="L164" s="129"/>
      <c r="M164" s="132"/>
      <c r="N164" s="135"/>
    </row>
    <row r="165" spans="1:14" x14ac:dyDescent="0.45">
      <c r="A165" s="98"/>
      <c r="B165" s="126"/>
      <c r="C165" s="30" t="str">
        <f>"PXIe-7820R/DIO" &amp; D165</f>
        <v>PXIe-7820R/DIO24</v>
      </c>
      <c r="D165" s="30">
        <f t="shared" si="91"/>
        <v>24</v>
      </c>
      <c r="E165" s="30" t="str">
        <f t="shared" ref="E165:F165" si="93">E157</f>
        <v>FPGA DO (PWM Gen.)</v>
      </c>
      <c r="F165" s="30" t="str">
        <f t="shared" si="93"/>
        <v>PWM_DC</v>
      </c>
      <c r="G165" s="3" t="str">
        <f t="shared" si="78"/>
        <v>ATE/IO25/PWM_DC</v>
      </c>
      <c r="H165" s="36" t="str">
        <f>Paths!$B$2 &amp; I165 &amp; Paths!$B$7</f>
        <v>Targets/Controller/Custom Devices/FPGA Addon/Scalars/Scalar Outputs/PWM.Out.IO25/DC</v>
      </c>
      <c r="I165" s="33" t="str">
        <f>"IO" &amp; A163</f>
        <v>IO25</v>
      </c>
      <c r="J165" s="104"/>
      <c r="K165" s="145"/>
      <c r="L165" s="129"/>
      <c r="M165" s="132"/>
      <c r="N165" s="135"/>
    </row>
    <row r="166" spans="1:14" x14ac:dyDescent="0.45">
      <c r="A166" s="98"/>
      <c r="B166" s="126"/>
      <c r="C166" s="30" t="str">
        <f>"SLSC-12201-1/P" &amp; ROUNDDOWN(D166/8,0) &amp; "." &amp; MOD(D166,8)</f>
        <v>SLSC-12201-1/P3.0</v>
      </c>
      <c r="D166" s="30">
        <f t="shared" si="91"/>
        <v>24</v>
      </c>
      <c r="E166" s="30" t="str">
        <f t="shared" ref="E166:F166" si="94">E158</f>
        <v>Output Push-Pull</v>
      </c>
      <c r="F166" s="30" t="str">
        <f t="shared" si="94"/>
        <v>None</v>
      </c>
      <c r="G166" s="3" t="str">
        <f t="shared" si="78"/>
        <v>None</v>
      </c>
      <c r="H166" s="36" t="str">
        <f>Paths!$B$19 &amp; "Bank " &amp; ROUNDDOWN(D166/16,0) &amp; "/Port " &amp; ROUNDDOWN(D166/8,0) &amp; "/Line " &amp;MOD(D166,8) &amp;"/Direction"</f>
        <v>Targets/Controller/Hardware/SLSC/SLSC Chassis/Modules/Slot 8 (SLSC-12201 DIO)/Bank 1/Port 3/Line 0/Direction</v>
      </c>
      <c r="I166" s="33" t="str">
        <f>"IO" &amp; A163</f>
        <v>IO25</v>
      </c>
      <c r="J166" s="104"/>
      <c r="K166" s="145"/>
      <c r="L166" s="129"/>
      <c r="M166" s="132"/>
      <c r="N166" s="135"/>
    </row>
    <row r="167" spans="1:14" x14ac:dyDescent="0.45">
      <c r="A167" s="98"/>
      <c r="B167" s="126"/>
      <c r="C167" s="30" t="str">
        <f>"SLSC-AL3011-1/AO " &amp; D167</f>
        <v>SLSC-AL3011-1/AO 8</v>
      </c>
      <c r="D167" s="3">
        <f t="shared" si="91"/>
        <v>8</v>
      </c>
      <c r="E167" s="30" t="str">
        <f t="shared" ref="E167:F167" si="95">E159</f>
        <v>Resistance 10 Ω - 8 MΩ</v>
      </c>
      <c r="F167" s="30" t="str">
        <f t="shared" si="95"/>
        <v>TBD</v>
      </c>
      <c r="G167" s="3" t="str">
        <f t="shared" si="78"/>
        <v>None</v>
      </c>
      <c r="H167" s="41" t="s">
        <v>28</v>
      </c>
      <c r="I167" s="33" t="str">
        <f>"IO" &amp; A163</f>
        <v>IO25</v>
      </c>
      <c r="J167" s="104"/>
      <c r="K167" s="145"/>
      <c r="L167" s="129"/>
      <c r="M167" s="132"/>
      <c r="N167" s="135"/>
    </row>
    <row r="168" spans="1:14" x14ac:dyDescent="0.45">
      <c r="A168" s="98"/>
      <c r="B168" s="126"/>
      <c r="C168" s="30" t="str">
        <f>"PXI 10-100-001/SPDT" &amp; D168</f>
        <v>PXI 10-100-001/SPDT33</v>
      </c>
      <c r="D168" s="30">
        <f>D161+1</f>
        <v>33</v>
      </c>
      <c r="E168" s="30" t="str">
        <f t="shared" ref="E168:F168" si="96">E160</f>
        <v>DO (SPDT)</v>
      </c>
      <c r="F168" s="30" t="str">
        <f t="shared" si="96"/>
        <v>Select_DO_or_AOR</v>
      </c>
      <c r="G168" s="3" t="str">
        <f t="shared" si="78"/>
        <v>ATE/IO25/Select_DO_or_AOR</v>
      </c>
      <c r="H168" s="41" t="str">
        <f>Paths!$B$12 &amp; D168</f>
        <v>Targets/Controller/Custom Devices/PickeringSwitching/Subunit1/Switch1_33</v>
      </c>
      <c r="I168" s="33" t="str">
        <f>"IO" &amp; A163</f>
        <v>IO25</v>
      </c>
      <c r="J168" s="104"/>
      <c r="K168" s="145"/>
      <c r="L168" s="129"/>
      <c r="M168" s="132"/>
      <c r="N168" s="135"/>
    </row>
    <row r="169" spans="1:14" x14ac:dyDescent="0.45">
      <c r="A169" s="98"/>
      <c r="B169" s="126"/>
      <c r="C169" s="30" t="str">
        <f>"PXI 10-100-001/SPDT" &amp; D169</f>
        <v>PXI 10-100-001/SPDT34</v>
      </c>
      <c r="D169" s="30">
        <f>D168+1</f>
        <v>34</v>
      </c>
      <c r="E169" s="30" t="str">
        <f t="shared" ref="E169:F169" si="97">E161</f>
        <v>DO (SPDT)</v>
      </c>
      <c r="F169" s="30" t="str">
        <f t="shared" si="97"/>
        <v>Select_AOR</v>
      </c>
      <c r="G169" s="3" t="str">
        <f t="shared" si="78"/>
        <v>ATE/IO25/Select_AOR</v>
      </c>
      <c r="H169" s="41" t="str">
        <f>Paths!$B$12 &amp; D169</f>
        <v>Targets/Controller/Custom Devices/PickeringSwitching/Subunit1/Switch1_34</v>
      </c>
      <c r="I169" s="33" t="str">
        <f>"IO" &amp; A163</f>
        <v>IO25</v>
      </c>
      <c r="J169" s="104"/>
      <c r="K169" s="145"/>
      <c r="L169" s="147"/>
      <c r="M169" s="148"/>
      <c r="N169" s="149"/>
    </row>
    <row r="170" spans="1:14" ht="14.65" thickBot="1" x14ac:dyDescent="0.5">
      <c r="A170" s="99"/>
      <c r="B170" s="127"/>
      <c r="C170" s="31" t="str">
        <f>"PXI-2510-1/dut" &amp; D170</f>
        <v>PXI-2510-1/dut24</v>
      </c>
      <c r="D170" s="31">
        <f t="shared" ref="D170:D175" si="98">D162+1</f>
        <v>24</v>
      </c>
      <c r="E170" s="5" t="str">
        <f t="shared" ref="E170:F172" si="99">E162</f>
        <v>FIU</v>
      </c>
      <c r="F170" s="31" t="str">
        <f t="shared" si="99"/>
        <v>TBD</v>
      </c>
      <c r="G170" s="5" t="str">
        <f t="shared" si="78"/>
        <v>None</v>
      </c>
      <c r="H170" s="42" t="s">
        <v>28</v>
      </c>
      <c r="I170" s="19" t="str">
        <f>"IO" &amp; A163</f>
        <v>IO25</v>
      </c>
      <c r="J170" s="105"/>
      <c r="K170" s="146"/>
      <c r="L170" s="130"/>
      <c r="M170" s="133"/>
      <c r="N170" s="136"/>
    </row>
    <row r="171" spans="1:14" ht="15" customHeight="1" x14ac:dyDescent="0.45">
      <c r="A171" s="97">
        <f>A163+1</f>
        <v>26</v>
      </c>
      <c r="B171" s="100" t="str">
        <f>B163</f>
        <v>AO/DO
AO U: 0-10 V
AO R: 10 Ω - 8 MΩ
DO: 0-Vsup</v>
      </c>
      <c r="C171" s="29" t="str">
        <f>"PXIe-6738/AO" &amp; D171</f>
        <v>PXIe-6738/AO25</v>
      </c>
      <c r="D171" s="29">
        <f t="shared" si="98"/>
        <v>25</v>
      </c>
      <c r="E171" s="29" t="str">
        <f t="shared" si="99"/>
        <v>Voltage out 0-10 V</v>
      </c>
      <c r="F171" s="29" t="str">
        <f t="shared" si="99"/>
        <v>AO</v>
      </c>
      <c r="G171" s="8" t="str">
        <f t="shared" si="78"/>
        <v>ATE/IO26/AO</v>
      </c>
      <c r="H171" s="39" t="str">
        <f>Paths!$B$26 &amp; D171</f>
        <v>Targets/Controller/Hardware/Chassis/DAQ/PXI1Slot15/Analog Output/AO25</v>
      </c>
      <c r="I171" s="32" t="str">
        <f>"IO" &amp; A171</f>
        <v>IO26</v>
      </c>
      <c r="J171" s="103" t="s">
        <v>6</v>
      </c>
      <c r="K171" s="144" t="s">
        <v>7</v>
      </c>
      <c r="L171" s="128"/>
      <c r="M171" s="131"/>
      <c r="N171" s="134"/>
    </row>
    <row r="172" spans="1:14" ht="15" customHeight="1" x14ac:dyDescent="0.45">
      <c r="A172" s="98"/>
      <c r="B172" s="126"/>
      <c r="C172" s="30" t="str">
        <f>"PXIe-7820R/DIO" &amp; D172</f>
        <v>PXIe-7820R/DIO25</v>
      </c>
      <c r="D172" s="30">
        <f t="shared" si="98"/>
        <v>25</v>
      </c>
      <c r="E172" s="30" t="str">
        <f t="shared" si="99"/>
        <v>FPGA DO (PWM Gen.)</v>
      </c>
      <c r="F172" s="30" t="str">
        <f t="shared" si="99"/>
        <v>PWM_FR</v>
      </c>
      <c r="G172" s="3" t="str">
        <f t="shared" si="78"/>
        <v>ATE/IO26/PWM_FR</v>
      </c>
      <c r="H172" s="36" t="str">
        <f>Paths!$B$2 &amp; I172 &amp; Paths!$B$6</f>
        <v>Targets/Controller/Custom Devices/FPGA Addon/Scalars/Scalar Outputs/PWM.Out.IO26/FREQ</v>
      </c>
      <c r="I172" s="33" t="str">
        <f>"IO" &amp; A171</f>
        <v>IO26</v>
      </c>
      <c r="J172" s="104"/>
      <c r="K172" s="145"/>
      <c r="L172" s="129"/>
      <c r="M172" s="132"/>
      <c r="N172" s="135"/>
    </row>
    <row r="173" spans="1:14" x14ac:dyDescent="0.45">
      <c r="A173" s="98"/>
      <c r="B173" s="126"/>
      <c r="C173" s="30" t="str">
        <f>"PXIe-7820R/DIO" &amp; D173</f>
        <v>PXIe-7820R/DIO25</v>
      </c>
      <c r="D173" s="30">
        <f t="shared" si="98"/>
        <v>25</v>
      </c>
      <c r="E173" s="30" t="str">
        <f t="shared" ref="E173:F173" si="100">E165</f>
        <v>FPGA DO (PWM Gen.)</v>
      </c>
      <c r="F173" s="30" t="str">
        <f t="shared" si="100"/>
        <v>PWM_DC</v>
      </c>
      <c r="G173" s="3" t="str">
        <f t="shared" si="78"/>
        <v>ATE/IO26/PWM_DC</v>
      </c>
      <c r="H173" s="36" t="str">
        <f>Paths!$B$2 &amp; I173 &amp; Paths!$B$7</f>
        <v>Targets/Controller/Custom Devices/FPGA Addon/Scalars/Scalar Outputs/PWM.Out.IO26/DC</v>
      </c>
      <c r="I173" s="33" t="str">
        <f>"IO" &amp; A171</f>
        <v>IO26</v>
      </c>
      <c r="J173" s="104"/>
      <c r="K173" s="145"/>
      <c r="L173" s="129"/>
      <c r="M173" s="132"/>
      <c r="N173" s="135"/>
    </row>
    <row r="174" spans="1:14" x14ac:dyDescent="0.45">
      <c r="A174" s="98"/>
      <c r="B174" s="126"/>
      <c r="C174" s="30" t="str">
        <f>"SLSC-12201-1/P" &amp; ROUNDDOWN(D174/8,0) &amp; "." &amp; MOD(D174,8)</f>
        <v>SLSC-12201-1/P3.1</v>
      </c>
      <c r="D174" s="30">
        <f t="shared" si="98"/>
        <v>25</v>
      </c>
      <c r="E174" s="30" t="str">
        <f t="shared" ref="E174:F174" si="101">E166</f>
        <v>Output Push-Pull</v>
      </c>
      <c r="F174" s="30" t="str">
        <f t="shared" si="101"/>
        <v>None</v>
      </c>
      <c r="G174" s="3" t="str">
        <f t="shared" si="78"/>
        <v>None</v>
      </c>
      <c r="H174" s="36" t="str">
        <f>Paths!$B$19 &amp; "Bank " &amp; ROUNDDOWN(D174/16,0) &amp; "/Port " &amp; ROUNDDOWN(D174/8,0) &amp; "/Line " &amp;MOD(D174,8) &amp;"/Direction"</f>
        <v>Targets/Controller/Hardware/SLSC/SLSC Chassis/Modules/Slot 8 (SLSC-12201 DIO)/Bank 1/Port 3/Line 1/Direction</v>
      </c>
      <c r="I174" s="33" t="str">
        <f>"IO" &amp; A171</f>
        <v>IO26</v>
      </c>
      <c r="J174" s="104"/>
      <c r="K174" s="145"/>
      <c r="L174" s="129"/>
      <c r="M174" s="132"/>
      <c r="N174" s="135"/>
    </row>
    <row r="175" spans="1:14" x14ac:dyDescent="0.45">
      <c r="A175" s="98"/>
      <c r="B175" s="126"/>
      <c r="C175" s="30" t="str">
        <f>"SLSC-AL3011-1/AO " &amp; D175</f>
        <v>SLSC-AL3011-1/AO 9</v>
      </c>
      <c r="D175" s="3">
        <f t="shared" si="98"/>
        <v>9</v>
      </c>
      <c r="E175" s="30" t="str">
        <f t="shared" ref="E175:F175" si="102">E167</f>
        <v>Resistance 10 Ω - 8 MΩ</v>
      </c>
      <c r="F175" s="30" t="str">
        <f t="shared" si="102"/>
        <v>TBD</v>
      </c>
      <c r="G175" s="3" t="str">
        <f t="shared" si="78"/>
        <v>None</v>
      </c>
      <c r="H175" s="41" t="s">
        <v>28</v>
      </c>
      <c r="I175" s="33" t="str">
        <f>"IO" &amp; A171</f>
        <v>IO26</v>
      </c>
      <c r="J175" s="104"/>
      <c r="K175" s="145"/>
      <c r="L175" s="129"/>
      <c r="M175" s="132"/>
      <c r="N175" s="135"/>
    </row>
    <row r="176" spans="1:14" x14ac:dyDescent="0.45">
      <c r="A176" s="98"/>
      <c r="B176" s="126"/>
      <c r="C176" s="30" t="str">
        <f>"PXI 10-100-001/SPDT" &amp; D176</f>
        <v>PXI 10-100-001/SPDT35</v>
      </c>
      <c r="D176" s="30">
        <f>D169+1</f>
        <v>35</v>
      </c>
      <c r="E176" s="30" t="str">
        <f t="shared" ref="E176:F176" si="103">E168</f>
        <v>DO (SPDT)</v>
      </c>
      <c r="F176" s="30" t="str">
        <f t="shared" si="103"/>
        <v>Select_DO_or_AOR</v>
      </c>
      <c r="G176" s="3" t="str">
        <f t="shared" si="78"/>
        <v>ATE/IO26/Select_DO_or_AOR</v>
      </c>
      <c r="H176" s="41" t="str">
        <f>Paths!$B$12 &amp; D176</f>
        <v>Targets/Controller/Custom Devices/PickeringSwitching/Subunit1/Switch1_35</v>
      </c>
      <c r="I176" s="33" t="str">
        <f>"IO" &amp; A171</f>
        <v>IO26</v>
      </c>
      <c r="J176" s="104"/>
      <c r="K176" s="145"/>
      <c r="L176" s="129"/>
      <c r="M176" s="132"/>
      <c r="N176" s="135"/>
    </row>
    <row r="177" spans="1:14" x14ac:dyDescent="0.45">
      <c r="A177" s="98"/>
      <c r="B177" s="126"/>
      <c r="C177" s="30" t="str">
        <f>"PXI 10-100-001/SPDT" &amp; D177</f>
        <v>PXI 10-100-001/SPDT36</v>
      </c>
      <c r="D177" s="30">
        <f>D176+1</f>
        <v>36</v>
      </c>
      <c r="E177" s="30" t="str">
        <f t="shared" ref="E177:F177" si="104">E169</f>
        <v>DO (SPDT)</v>
      </c>
      <c r="F177" s="30" t="str">
        <f t="shared" si="104"/>
        <v>Select_AOR</v>
      </c>
      <c r="G177" s="3" t="str">
        <f t="shared" si="78"/>
        <v>ATE/IO26/Select_AOR</v>
      </c>
      <c r="H177" s="41" t="str">
        <f>Paths!$B$12 &amp; D177</f>
        <v>Targets/Controller/Custom Devices/PickeringSwitching/Subunit1/Switch1_36</v>
      </c>
      <c r="I177" s="33" t="str">
        <f>"IO" &amp; A171</f>
        <v>IO26</v>
      </c>
      <c r="J177" s="104"/>
      <c r="K177" s="145"/>
      <c r="L177" s="147"/>
      <c r="M177" s="148"/>
      <c r="N177" s="149"/>
    </row>
    <row r="178" spans="1:14" ht="14.65" thickBot="1" x14ac:dyDescent="0.5">
      <c r="A178" s="99"/>
      <c r="B178" s="127"/>
      <c r="C178" s="31" t="str">
        <f>"PXI-2510-1/dut" &amp; D178</f>
        <v>PXI-2510-1/dut25</v>
      </c>
      <c r="D178" s="31">
        <f t="shared" ref="D178:D183" si="105">D170+1</f>
        <v>25</v>
      </c>
      <c r="E178" s="5" t="str">
        <f t="shared" ref="E178:F180" si="106">E170</f>
        <v>FIU</v>
      </c>
      <c r="F178" s="31" t="str">
        <f t="shared" si="106"/>
        <v>TBD</v>
      </c>
      <c r="G178" s="5" t="str">
        <f t="shared" si="78"/>
        <v>None</v>
      </c>
      <c r="H178" s="42" t="s">
        <v>28</v>
      </c>
      <c r="I178" s="19" t="str">
        <f>"IO" &amp; A171</f>
        <v>IO26</v>
      </c>
      <c r="J178" s="105"/>
      <c r="K178" s="146"/>
      <c r="L178" s="130"/>
      <c r="M178" s="133"/>
      <c r="N178" s="136"/>
    </row>
    <row r="179" spans="1:14" ht="15" customHeight="1" x14ac:dyDescent="0.45">
      <c r="A179" s="97">
        <f>A171+1</f>
        <v>27</v>
      </c>
      <c r="B179" s="100" t="str">
        <f>B171</f>
        <v>AO/DO
AO U: 0-10 V
AO R: 10 Ω - 8 MΩ
DO: 0-Vsup</v>
      </c>
      <c r="C179" s="29" t="str">
        <f>"PXIe-6738/AO" &amp; D179</f>
        <v>PXIe-6738/AO26</v>
      </c>
      <c r="D179" s="29">
        <f t="shared" si="105"/>
        <v>26</v>
      </c>
      <c r="E179" s="29" t="str">
        <f t="shared" si="106"/>
        <v>Voltage out 0-10 V</v>
      </c>
      <c r="F179" s="29" t="str">
        <f t="shared" si="106"/>
        <v>AO</v>
      </c>
      <c r="G179" s="8" t="str">
        <f t="shared" ref="G179:G210" si="107">IF(OR(F179="None",F179="TBD"),"None",_xlfn.CONCAT("ATE/",I179,"/",F179))</f>
        <v>ATE/IO27/AO</v>
      </c>
      <c r="H179" s="39" t="str">
        <f>Paths!$B$26 &amp; D179</f>
        <v>Targets/Controller/Hardware/Chassis/DAQ/PXI1Slot15/Analog Output/AO26</v>
      </c>
      <c r="I179" s="32" t="str">
        <f>"IO" &amp; A179</f>
        <v>IO27</v>
      </c>
      <c r="J179" s="103" t="s">
        <v>6</v>
      </c>
      <c r="K179" s="144" t="s">
        <v>7</v>
      </c>
      <c r="L179" s="128"/>
      <c r="M179" s="131"/>
      <c r="N179" s="134"/>
    </row>
    <row r="180" spans="1:14" ht="15" customHeight="1" x14ac:dyDescent="0.45">
      <c r="A180" s="98"/>
      <c r="B180" s="126"/>
      <c r="C180" s="30" t="str">
        <f>"PXIe-7820R/DIO" &amp; D180</f>
        <v>PXIe-7820R/DIO26</v>
      </c>
      <c r="D180" s="30">
        <f t="shared" si="105"/>
        <v>26</v>
      </c>
      <c r="E180" s="30" t="str">
        <f t="shared" si="106"/>
        <v>FPGA DO (PWM Gen.)</v>
      </c>
      <c r="F180" s="30" t="str">
        <f t="shared" si="106"/>
        <v>PWM_FR</v>
      </c>
      <c r="G180" s="3" t="str">
        <f t="shared" si="107"/>
        <v>ATE/IO27/PWM_FR</v>
      </c>
      <c r="H180" s="36" t="str">
        <f>Paths!$B$2 &amp; I180 &amp; Paths!$B$6</f>
        <v>Targets/Controller/Custom Devices/FPGA Addon/Scalars/Scalar Outputs/PWM.Out.IO27/FREQ</v>
      </c>
      <c r="I180" s="33" t="str">
        <f>"IO" &amp; A179</f>
        <v>IO27</v>
      </c>
      <c r="J180" s="104"/>
      <c r="K180" s="145"/>
      <c r="L180" s="129"/>
      <c r="M180" s="132"/>
      <c r="N180" s="135"/>
    </row>
    <row r="181" spans="1:14" x14ac:dyDescent="0.45">
      <c r="A181" s="98"/>
      <c r="B181" s="126"/>
      <c r="C181" s="30" t="str">
        <f>"PXIe-7820R/DIO" &amp; D181</f>
        <v>PXIe-7820R/DIO26</v>
      </c>
      <c r="D181" s="30">
        <f t="shared" si="105"/>
        <v>26</v>
      </c>
      <c r="E181" s="30" t="str">
        <f t="shared" ref="E181:F181" si="108">E173</f>
        <v>FPGA DO (PWM Gen.)</v>
      </c>
      <c r="F181" s="30" t="str">
        <f t="shared" si="108"/>
        <v>PWM_DC</v>
      </c>
      <c r="G181" s="3" t="str">
        <f t="shared" si="107"/>
        <v>ATE/IO27/PWM_DC</v>
      </c>
      <c r="H181" s="36" t="str">
        <f>Paths!$B$2 &amp; I181 &amp; Paths!$B$7</f>
        <v>Targets/Controller/Custom Devices/FPGA Addon/Scalars/Scalar Outputs/PWM.Out.IO27/DC</v>
      </c>
      <c r="I181" s="33" t="str">
        <f>"IO" &amp; A179</f>
        <v>IO27</v>
      </c>
      <c r="J181" s="104"/>
      <c r="K181" s="145"/>
      <c r="L181" s="129"/>
      <c r="M181" s="132"/>
      <c r="N181" s="135"/>
    </row>
    <row r="182" spans="1:14" x14ac:dyDescent="0.45">
      <c r="A182" s="98"/>
      <c r="B182" s="126"/>
      <c r="C182" s="30" t="str">
        <f>"SLSC-12201-1/P" &amp; ROUNDDOWN(D182/8,0) &amp; "." &amp; MOD(D182,8)</f>
        <v>SLSC-12201-1/P3.2</v>
      </c>
      <c r="D182" s="30">
        <f t="shared" si="105"/>
        <v>26</v>
      </c>
      <c r="E182" s="30" t="str">
        <f t="shared" ref="E182:F182" si="109">E174</f>
        <v>Output Push-Pull</v>
      </c>
      <c r="F182" s="30" t="str">
        <f t="shared" si="109"/>
        <v>None</v>
      </c>
      <c r="G182" s="3" t="str">
        <f t="shared" si="107"/>
        <v>None</v>
      </c>
      <c r="H182" s="36" t="str">
        <f>Paths!$B$19 &amp; "Bank " &amp; ROUNDDOWN(D182/16,0) &amp; "/Port " &amp; ROUNDDOWN(D182/8,0) &amp; "/Line " &amp;MOD(D182,8) &amp;"/Direction"</f>
        <v>Targets/Controller/Hardware/SLSC/SLSC Chassis/Modules/Slot 8 (SLSC-12201 DIO)/Bank 1/Port 3/Line 2/Direction</v>
      </c>
      <c r="I182" s="33" t="str">
        <f>"IO" &amp; A179</f>
        <v>IO27</v>
      </c>
      <c r="J182" s="104"/>
      <c r="K182" s="145"/>
      <c r="L182" s="129"/>
      <c r="M182" s="132"/>
      <c r="N182" s="135"/>
    </row>
    <row r="183" spans="1:14" x14ac:dyDescent="0.45">
      <c r="A183" s="98"/>
      <c r="B183" s="126"/>
      <c r="C183" s="30" t="str">
        <f>"SLSC-AL3011-1/AO " &amp; D183</f>
        <v>SLSC-AL3011-1/AO 10</v>
      </c>
      <c r="D183" s="3">
        <f t="shared" si="105"/>
        <v>10</v>
      </c>
      <c r="E183" s="30" t="str">
        <f t="shared" ref="E183:F183" si="110">E175</f>
        <v>Resistance 10 Ω - 8 MΩ</v>
      </c>
      <c r="F183" s="30" t="str">
        <f t="shared" si="110"/>
        <v>TBD</v>
      </c>
      <c r="G183" s="3" t="str">
        <f t="shared" si="107"/>
        <v>None</v>
      </c>
      <c r="H183" s="41" t="s">
        <v>28</v>
      </c>
      <c r="I183" s="33" t="str">
        <f>"IO" &amp; A179</f>
        <v>IO27</v>
      </c>
      <c r="J183" s="104"/>
      <c r="K183" s="145"/>
      <c r="L183" s="129"/>
      <c r="M183" s="132"/>
      <c r="N183" s="135"/>
    </row>
    <row r="184" spans="1:14" x14ac:dyDescent="0.45">
      <c r="A184" s="98"/>
      <c r="B184" s="126"/>
      <c r="C184" s="30" t="str">
        <f>"PXI 10-100-001/SPDT" &amp; D184</f>
        <v>PXI 10-100-001/SPDT37</v>
      </c>
      <c r="D184" s="30">
        <f>D177+1</f>
        <v>37</v>
      </c>
      <c r="E184" s="30" t="str">
        <f t="shared" ref="E184:F184" si="111">E176</f>
        <v>DO (SPDT)</v>
      </c>
      <c r="F184" s="30" t="str">
        <f t="shared" si="111"/>
        <v>Select_DO_or_AOR</v>
      </c>
      <c r="G184" s="3" t="str">
        <f t="shared" si="107"/>
        <v>ATE/IO27/Select_DO_or_AOR</v>
      </c>
      <c r="H184" s="41" t="str">
        <f>Paths!$B$12 &amp; D184</f>
        <v>Targets/Controller/Custom Devices/PickeringSwitching/Subunit1/Switch1_37</v>
      </c>
      <c r="I184" s="33" t="str">
        <f>"IO" &amp; A179</f>
        <v>IO27</v>
      </c>
      <c r="J184" s="104"/>
      <c r="K184" s="145"/>
      <c r="L184" s="129"/>
      <c r="M184" s="132"/>
      <c r="N184" s="135"/>
    </row>
    <row r="185" spans="1:14" x14ac:dyDescent="0.45">
      <c r="A185" s="98"/>
      <c r="B185" s="126"/>
      <c r="C185" s="30" t="str">
        <f>"PXI 10-100-001/SPDT" &amp; D185</f>
        <v>PXI 10-100-001/SPDT38</v>
      </c>
      <c r="D185" s="30">
        <f>D184+1</f>
        <v>38</v>
      </c>
      <c r="E185" s="30" t="str">
        <f t="shared" ref="E185:F185" si="112">E177</f>
        <v>DO (SPDT)</v>
      </c>
      <c r="F185" s="30" t="str">
        <f t="shared" si="112"/>
        <v>Select_AOR</v>
      </c>
      <c r="G185" s="3" t="str">
        <f t="shared" si="107"/>
        <v>ATE/IO27/Select_AOR</v>
      </c>
      <c r="H185" s="41" t="str">
        <f>Paths!$B$12 &amp; D185</f>
        <v>Targets/Controller/Custom Devices/PickeringSwitching/Subunit1/Switch1_38</v>
      </c>
      <c r="I185" s="33" t="str">
        <f>"IO" &amp; A179</f>
        <v>IO27</v>
      </c>
      <c r="J185" s="104"/>
      <c r="K185" s="145"/>
      <c r="L185" s="147"/>
      <c r="M185" s="148"/>
      <c r="N185" s="149"/>
    </row>
    <row r="186" spans="1:14" ht="14.65" thickBot="1" x14ac:dyDescent="0.5">
      <c r="A186" s="99"/>
      <c r="B186" s="127"/>
      <c r="C186" s="31" t="str">
        <f>"PXI-2510-1/dut" &amp; D186</f>
        <v>PXI-2510-1/dut26</v>
      </c>
      <c r="D186" s="31">
        <f t="shared" ref="D186:D191" si="113">D178+1</f>
        <v>26</v>
      </c>
      <c r="E186" s="5" t="str">
        <f t="shared" ref="E186:F188" si="114">E178</f>
        <v>FIU</v>
      </c>
      <c r="F186" s="31" t="str">
        <f t="shared" si="114"/>
        <v>TBD</v>
      </c>
      <c r="G186" s="5" t="str">
        <f t="shared" si="107"/>
        <v>None</v>
      </c>
      <c r="H186" s="42" t="s">
        <v>28</v>
      </c>
      <c r="I186" s="19" t="str">
        <f>"IO" &amp; A179</f>
        <v>IO27</v>
      </c>
      <c r="J186" s="105"/>
      <c r="K186" s="146"/>
      <c r="L186" s="130"/>
      <c r="M186" s="133"/>
      <c r="N186" s="136"/>
    </row>
    <row r="187" spans="1:14" ht="15" customHeight="1" x14ac:dyDescent="0.45">
      <c r="A187" s="97">
        <f>A179+1</f>
        <v>28</v>
      </c>
      <c r="B187" s="100" t="str">
        <f>B179</f>
        <v>AO/DO
AO U: 0-10 V
AO R: 10 Ω - 8 MΩ
DO: 0-Vsup</v>
      </c>
      <c r="C187" s="29" t="str">
        <f>"PXIe-6738/AO" &amp; D187</f>
        <v>PXIe-6738/AO27</v>
      </c>
      <c r="D187" s="29">
        <f t="shared" si="113"/>
        <v>27</v>
      </c>
      <c r="E187" s="29" t="str">
        <f t="shared" si="114"/>
        <v>Voltage out 0-10 V</v>
      </c>
      <c r="F187" s="29" t="str">
        <f t="shared" si="114"/>
        <v>AO</v>
      </c>
      <c r="G187" s="8" t="str">
        <f t="shared" si="107"/>
        <v>ATE/IO28/AO</v>
      </c>
      <c r="H187" s="39" t="str">
        <f>Paths!$B$26 &amp; D187</f>
        <v>Targets/Controller/Hardware/Chassis/DAQ/PXI1Slot15/Analog Output/AO27</v>
      </c>
      <c r="I187" s="32" t="str">
        <f>"IO" &amp; A187</f>
        <v>IO28</v>
      </c>
      <c r="J187" s="103" t="s">
        <v>6</v>
      </c>
      <c r="K187" s="144" t="s">
        <v>7</v>
      </c>
      <c r="L187" s="128"/>
      <c r="M187" s="131"/>
      <c r="N187" s="134"/>
    </row>
    <row r="188" spans="1:14" ht="15" customHeight="1" x14ac:dyDescent="0.45">
      <c r="A188" s="98"/>
      <c r="B188" s="126"/>
      <c r="C188" s="30" t="str">
        <f>"PXIe-7820R/DIO" &amp; D188</f>
        <v>PXIe-7820R/DIO27</v>
      </c>
      <c r="D188" s="30">
        <f t="shared" si="113"/>
        <v>27</v>
      </c>
      <c r="E188" s="30" t="str">
        <f t="shared" si="114"/>
        <v>FPGA DO (PWM Gen.)</v>
      </c>
      <c r="F188" s="30" t="str">
        <f t="shared" si="114"/>
        <v>PWM_FR</v>
      </c>
      <c r="G188" s="3" t="str">
        <f t="shared" si="107"/>
        <v>ATE/IO28/PWM_FR</v>
      </c>
      <c r="H188" s="36" t="str">
        <f>Paths!$B$2 &amp; I188 &amp; Paths!$B$6</f>
        <v>Targets/Controller/Custom Devices/FPGA Addon/Scalars/Scalar Outputs/PWM.Out.IO28/FREQ</v>
      </c>
      <c r="I188" s="33" t="str">
        <f>"IO" &amp; A187</f>
        <v>IO28</v>
      </c>
      <c r="J188" s="104"/>
      <c r="K188" s="145"/>
      <c r="L188" s="129"/>
      <c r="M188" s="132"/>
      <c r="N188" s="135"/>
    </row>
    <row r="189" spans="1:14" x14ac:dyDescent="0.45">
      <c r="A189" s="98"/>
      <c r="B189" s="126"/>
      <c r="C189" s="30" t="str">
        <f>"PXIe-7820R/DIO" &amp; D189</f>
        <v>PXIe-7820R/DIO27</v>
      </c>
      <c r="D189" s="30">
        <f t="shared" si="113"/>
        <v>27</v>
      </c>
      <c r="E189" s="30" t="str">
        <f t="shared" ref="E189:F189" si="115">E181</f>
        <v>FPGA DO (PWM Gen.)</v>
      </c>
      <c r="F189" s="30" t="str">
        <f t="shared" si="115"/>
        <v>PWM_DC</v>
      </c>
      <c r="G189" s="3" t="str">
        <f t="shared" si="107"/>
        <v>ATE/IO28/PWM_DC</v>
      </c>
      <c r="H189" s="36" t="str">
        <f>Paths!$B$2 &amp; I189 &amp; Paths!$B$7</f>
        <v>Targets/Controller/Custom Devices/FPGA Addon/Scalars/Scalar Outputs/PWM.Out.IO28/DC</v>
      </c>
      <c r="I189" s="33" t="str">
        <f>"IO" &amp; A187</f>
        <v>IO28</v>
      </c>
      <c r="J189" s="104"/>
      <c r="K189" s="145"/>
      <c r="L189" s="129"/>
      <c r="M189" s="132"/>
      <c r="N189" s="135"/>
    </row>
    <row r="190" spans="1:14" x14ac:dyDescent="0.45">
      <c r="A190" s="98"/>
      <c r="B190" s="126"/>
      <c r="C190" s="30" t="str">
        <f>"SLSC-12201-1/P" &amp; ROUNDDOWN(D190/8,0) &amp; "." &amp; MOD(D190,8)</f>
        <v>SLSC-12201-1/P3.3</v>
      </c>
      <c r="D190" s="30">
        <f t="shared" si="113"/>
        <v>27</v>
      </c>
      <c r="E190" s="30" t="str">
        <f t="shared" ref="E190:F190" si="116">E182</f>
        <v>Output Push-Pull</v>
      </c>
      <c r="F190" s="30" t="str">
        <f t="shared" si="116"/>
        <v>None</v>
      </c>
      <c r="G190" s="3" t="str">
        <f t="shared" si="107"/>
        <v>None</v>
      </c>
      <c r="H190" s="36" t="str">
        <f>Paths!$B$19 &amp; "Bank " &amp; ROUNDDOWN(D190/16,0) &amp; "/Port " &amp; ROUNDDOWN(D190/8,0) &amp; "/Line " &amp;MOD(D190,8) &amp;"/Direction"</f>
        <v>Targets/Controller/Hardware/SLSC/SLSC Chassis/Modules/Slot 8 (SLSC-12201 DIO)/Bank 1/Port 3/Line 3/Direction</v>
      </c>
      <c r="I190" s="33" t="str">
        <f>"IO" &amp; A187</f>
        <v>IO28</v>
      </c>
      <c r="J190" s="104"/>
      <c r="K190" s="145"/>
      <c r="L190" s="129"/>
      <c r="M190" s="132"/>
      <c r="N190" s="135"/>
    </row>
    <row r="191" spans="1:14" x14ac:dyDescent="0.45">
      <c r="A191" s="98"/>
      <c r="B191" s="126"/>
      <c r="C191" s="30" t="str">
        <f>"SLSC-AL3011-1/AO " &amp; D191</f>
        <v>SLSC-AL3011-1/AO 11</v>
      </c>
      <c r="D191" s="3">
        <f t="shared" si="113"/>
        <v>11</v>
      </c>
      <c r="E191" s="30" t="str">
        <f t="shared" ref="E191:F191" si="117">E183</f>
        <v>Resistance 10 Ω - 8 MΩ</v>
      </c>
      <c r="F191" s="30" t="str">
        <f t="shared" si="117"/>
        <v>TBD</v>
      </c>
      <c r="G191" s="3" t="str">
        <f t="shared" si="107"/>
        <v>None</v>
      </c>
      <c r="H191" s="41" t="s">
        <v>28</v>
      </c>
      <c r="I191" s="33" t="str">
        <f>"IO" &amp; A187</f>
        <v>IO28</v>
      </c>
      <c r="J191" s="104"/>
      <c r="K191" s="145"/>
      <c r="L191" s="129"/>
      <c r="M191" s="132"/>
      <c r="N191" s="135"/>
    </row>
    <row r="192" spans="1:14" x14ac:dyDescent="0.45">
      <c r="A192" s="98"/>
      <c r="B192" s="126"/>
      <c r="C192" s="30" t="str">
        <f>"PXI 10-100-001/SPDT" &amp; D192</f>
        <v>PXI 10-100-001/SPDT39</v>
      </c>
      <c r="D192" s="30">
        <f>D185+1</f>
        <v>39</v>
      </c>
      <c r="E192" s="30" t="str">
        <f t="shared" ref="E192:F192" si="118">E184</f>
        <v>DO (SPDT)</v>
      </c>
      <c r="F192" s="30" t="str">
        <f t="shared" si="118"/>
        <v>Select_DO_or_AOR</v>
      </c>
      <c r="G192" s="3" t="str">
        <f t="shared" si="107"/>
        <v>ATE/IO28/Select_DO_or_AOR</v>
      </c>
      <c r="H192" s="41" t="str">
        <f>Paths!$B$12 &amp; D192</f>
        <v>Targets/Controller/Custom Devices/PickeringSwitching/Subunit1/Switch1_39</v>
      </c>
      <c r="I192" s="33" t="str">
        <f>"IO" &amp; A187</f>
        <v>IO28</v>
      </c>
      <c r="J192" s="104"/>
      <c r="K192" s="145"/>
      <c r="L192" s="129"/>
      <c r="M192" s="132"/>
      <c r="N192" s="135"/>
    </row>
    <row r="193" spans="1:14" x14ac:dyDescent="0.45">
      <c r="A193" s="98"/>
      <c r="B193" s="126"/>
      <c r="C193" s="30" t="str">
        <f>"PXI 10-100-001/SPDT" &amp; D193</f>
        <v>PXI 10-100-001/SPDT40</v>
      </c>
      <c r="D193" s="30">
        <f>D192+1</f>
        <v>40</v>
      </c>
      <c r="E193" s="30" t="str">
        <f t="shared" ref="E193:F193" si="119">E185</f>
        <v>DO (SPDT)</v>
      </c>
      <c r="F193" s="30" t="str">
        <f t="shared" si="119"/>
        <v>Select_AOR</v>
      </c>
      <c r="G193" s="3" t="str">
        <f t="shared" si="107"/>
        <v>ATE/IO28/Select_AOR</v>
      </c>
      <c r="H193" s="41" t="str">
        <f>Paths!$B$12 &amp; D193</f>
        <v>Targets/Controller/Custom Devices/PickeringSwitching/Subunit1/Switch1_40</v>
      </c>
      <c r="I193" s="33" t="str">
        <f>"IO" &amp; A187</f>
        <v>IO28</v>
      </c>
      <c r="J193" s="104"/>
      <c r="K193" s="145"/>
      <c r="L193" s="147"/>
      <c r="M193" s="148"/>
      <c r="N193" s="149"/>
    </row>
    <row r="194" spans="1:14" ht="14.65" thickBot="1" x14ac:dyDescent="0.5">
      <c r="A194" s="99"/>
      <c r="B194" s="127"/>
      <c r="C194" s="31" t="str">
        <f>"PXI-2510-1/dut" &amp; D194</f>
        <v>PXI-2510-1/dut27</v>
      </c>
      <c r="D194" s="31">
        <f t="shared" ref="D194:D199" si="120">D186+1</f>
        <v>27</v>
      </c>
      <c r="E194" s="5" t="str">
        <f t="shared" ref="E194:F196" si="121">E186</f>
        <v>FIU</v>
      </c>
      <c r="F194" s="31" t="str">
        <f t="shared" si="121"/>
        <v>TBD</v>
      </c>
      <c r="G194" s="5" t="str">
        <f t="shared" si="107"/>
        <v>None</v>
      </c>
      <c r="H194" s="42" t="s">
        <v>28</v>
      </c>
      <c r="I194" s="19" t="str">
        <f>"IO" &amp; A187</f>
        <v>IO28</v>
      </c>
      <c r="J194" s="105"/>
      <c r="K194" s="146"/>
      <c r="L194" s="130"/>
      <c r="M194" s="133"/>
      <c r="N194" s="136"/>
    </row>
    <row r="195" spans="1:14" ht="15" customHeight="1" x14ac:dyDescent="0.45">
      <c r="A195" s="97">
        <f>A187+1</f>
        <v>29</v>
      </c>
      <c r="B195" s="100" t="str">
        <f>B187</f>
        <v>AO/DO
AO U: 0-10 V
AO R: 10 Ω - 8 MΩ
DO: 0-Vsup</v>
      </c>
      <c r="C195" s="29" t="str">
        <f>"PXIe-6738/AO" &amp; D195</f>
        <v>PXIe-6738/AO28</v>
      </c>
      <c r="D195" s="29">
        <f t="shared" si="120"/>
        <v>28</v>
      </c>
      <c r="E195" s="29" t="str">
        <f t="shared" si="121"/>
        <v>Voltage out 0-10 V</v>
      </c>
      <c r="F195" s="29" t="str">
        <f t="shared" si="121"/>
        <v>AO</v>
      </c>
      <c r="G195" s="8" t="str">
        <f t="shared" si="107"/>
        <v>ATE/IO29/AO</v>
      </c>
      <c r="H195" s="39" t="str">
        <f>Paths!$B$26 &amp; D195</f>
        <v>Targets/Controller/Hardware/Chassis/DAQ/PXI1Slot15/Analog Output/AO28</v>
      </c>
      <c r="I195" s="32" t="str">
        <f>"IO" &amp; A195</f>
        <v>IO29</v>
      </c>
      <c r="J195" s="103" t="s">
        <v>6</v>
      </c>
      <c r="K195" s="144" t="s">
        <v>7</v>
      </c>
      <c r="L195" s="128"/>
      <c r="M195" s="131"/>
      <c r="N195" s="134"/>
    </row>
    <row r="196" spans="1:14" ht="15" customHeight="1" x14ac:dyDescent="0.45">
      <c r="A196" s="98"/>
      <c r="B196" s="126"/>
      <c r="C196" s="30" t="str">
        <f>"PXIe-7820R/DIO" &amp; D196</f>
        <v>PXIe-7820R/DIO28</v>
      </c>
      <c r="D196" s="30">
        <f t="shared" si="120"/>
        <v>28</v>
      </c>
      <c r="E196" s="30" t="str">
        <f t="shared" si="121"/>
        <v>FPGA DO (PWM Gen.)</v>
      </c>
      <c r="F196" s="30" t="str">
        <f t="shared" si="121"/>
        <v>PWM_FR</v>
      </c>
      <c r="G196" s="3" t="str">
        <f t="shared" si="107"/>
        <v>ATE/IO29/PWM_FR</v>
      </c>
      <c r="H196" s="36" t="str">
        <f>Paths!$B$2 &amp; I196 &amp; Paths!$B$6</f>
        <v>Targets/Controller/Custom Devices/FPGA Addon/Scalars/Scalar Outputs/PWM.Out.IO29/FREQ</v>
      </c>
      <c r="I196" s="33" t="str">
        <f>"IO" &amp; A195</f>
        <v>IO29</v>
      </c>
      <c r="J196" s="104"/>
      <c r="K196" s="145"/>
      <c r="L196" s="129"/>
      <c r="M196" s="132"/>
      <c r="N196" s="135"/>
    </row>
    <row r="197" spans="1:14" x14ac:dyDescent="0.45">
      <c r="A197" s="98"/>
      <c r="B197" s="126"/>
      <c r="C197" s="30" t="str">
        <f>"PXIe-7820R/DIO" &amp; D197</f>
        <v>PXIe-7820R/DIO28</v>
      </c>
      <c r="D197" s="30">
        <f t="shared" si="120"/>
        <v>28</v>
      </c>
      <c r="E197" s="30" t="str">
        <f t="shared" ref="E197:F197" si="122">E189</f>
        <v>FPGA DO (PWM Gen.)</v>
      </c>
      <c r="F197" s="30" t="str">
        <f t="shared" si="122"/>
        <v>PWM_DC</v>
      </c>
      <c r="G197" s="3" t="str">
        <f t="shared" si="107"/>
        <v>ATE/IO29/PWM_DC</v>
      </c>
      <c r="H197" s="36" t="str">
        <f>Paths!$B$2 &amp; I197 &amp; Paths!$B$7</f>
        <v>Targets/Controller/Custom Devices/FPGA Addon/Scalars/Scalar Outputs/PWM.Out.IO29/DC</v>
      </c>
      <c r="I197" s="33" t="str">
        <f>"IO" &amp; A195</f>
        <v>IO29</v>
      </c>
      <c r="J197" s="104"/>
      <c r="K197" s="145"/>
      <c r="L197" s="129"/>
      <c r="M197" s="132"/>
      <c r="N197" s="135"/>
    </row>
    <row r="198" spans="1:14" x14ac:dyDescent="0.45">
      <c r="A198" s="98"/>
      <c r="B198" s="126"/>
      <c r="C198" s="30" t="str">
        <f>"SLSC-12201-1/P" &amp; ROUNDDOWN(D198/8,0) &amp; "." &amp; MOD(D198,8)</f>
        <v>SLSC-12201-1/P3.4</v>
      </c>
      <c r="D198" s="30">
        <f t="shared" si="120"/>
        <v>28</v>
      </c>
      <c r="E198" s="30" t="str">
        <f t="shared" ref="E198:F198" si="123">E190</f>
        <v>Output Push-Pull</v>
      </c>
      <c r="F198" s="30" t="str">
        <f t="shared" si="123"/>
        <v>None</v>
      </c>
      <c r="G198" s="3" t="str">
        <f t="shared" si="107"/>
        <v>None</v>
      </c>
      <c r="H198" s="36" t="str">
        <f>Paths!$B$19 &amp; "Bank " &amp; ROUNDDOWN(D198/16,0) &amp; "/Port " &amp; ROUNDDOWN(D198/8,0) &amp; "/Line " &amp;MOD(D198,8) &amp;"/Direction"</f>
        <v>Targets/Controller/Hardware/SLSC/SLSC Chassis/Modules/Slot 8 (SLSC-12201 DIO)/Bank 1/Port 3/Line 4/Direction</v>
      </c>
      <c r="I198" s="33" t="str">
        <f>"IO" &amp; A195</f>
        <v>IO29</v>
      </c>
      <c r="J198" s="104"/>
      <c r="K198" s="145"/>
      <c r="L198" s="129"/>
      <c r="M198" s="132"/>
      <c r="N198" s="135"/>
    </row>
    <row r="199" spans="1:14" x14ac:dyDescent="0.45">
      <c r="A199" s="98"/>
      <c r="B199" s="126"/>
      <c r="C199" s="30" t="str">
        <f>"SLSC-AL3011-1/AO " &amp; D199</f>
        <v>SLSC-AL3011-1/AO 12</v>
      </c>
      <c r="D199" s="3">
        <f t="shared" si="120"/>
        <v>12</v>
      </c>
      <c r="E199" s="30" t="str">
        <f t="shared" ref="E199:F199" si="124">E191</f>
        <v>Resistance 10 Ω - 8 MΩ</v>
      </c>
      <c r="F199" s="30" t="str">
        <f t="shared" si="124"/>
        <v>TBD</v>
      </c>
      <c r="G199" s="3" t="str">
        <f t="shared" si="107"/>
        <v>None</v>
      </c>
      <c r="H199" s="41" t="s">
        <v>28</v>
      </c>
      <c r="I199" s="33" t="str">
        <f>"IO" &amp; A195</f>
        <v>IO29</v>
      </c>
      <c r="J199" s="104"/>
      <c r="K199" s="145"/>
      <c r="L199" s="129"/>
      <c r="M199" s="132"/>
      <c r="N199" s="135"/>
    </row>
    <row r="200" spans="1:14" x14ac:dyDescent="0.45">
      <c r="A200" s="98"/>
      <c r="B200" s="126"/>
      <c r="C200" s="30" t="str">
        <f>"PXI 10-100-001/SPDT" &amp; D200</f>
        <v>PXI 10-100-001/SPDT41</v>
      </c>
      <c r="D200" s="30">
        <f>D193+1</f>
        <v>41</v>
      </c>
      <c r="E200" s="30" t="str">
        <f t="shared" ref="E200:F200" si="125">E192</f>
        <v>DO (SPDT)</v>
      </c>
      <c r="F200" s="30" t="str">
        <f t="shared" si="125"/>
        <v>Select_DO_or_AOR</v>
      </c>
      <c r="G200" s="3" t="str">
        <f t="shared" si="107"/>
        <v>ATE/IO29/Select_DO_or_AOR</v>
      </c>
      <c r="H200" s="41" t="str">
        <f>Paths!$B$12 &amp; D200</f>
        <v>Targets/Controller/Custom Devices/PickeringSwitching/Subunit1/Switch1_41</v>
      </c>
      <c r="I200" s="33" t="str">
        <f>"IO" &amp; A195</f>
        <v>IO29</v>
      </c>
      <c r="J200" s="104"/>
      <c r="K200" s="145"/>
      <c r="L200" s="129"/>
      <c r="M200" s="132"/>
      <c r="N200" s="135"/>
    </row>
    <row r="201" spans="1:14" x14ac:dyDescent="0.45">
      <c r="A201" s="98"/>
      <c r="B201" s="126"/>
      <c r="C201" s="30" t="str">
        <f>"PXI 10-100-001/SPDT" &amp; D201</f>
        <v>PXI 10-100-001/SPDT42</v>
      </c>
      <c r="D201" s="30">
        <f>D200+1</f>
        <v>42</v>
      </c>
      <c r="E201" s="30" t="str">
        <f t="shared" ref="E201:F201" si="126">E193</f>
        <v>DO (SPDT)</v>
      </c>
      <c r="F201" s="30" t="str">
        <f t="shared" si="126"/>
        <v>Select_AOR</v>
      </c>
      <c r="G201" s="3" t="str">
        <f t="shared" si="107"/>
        <v>ATE/IO29/Select_AOR</v>
      </c>
      <c r="H201" s="41" t="str">
        <f>Paths!$B$12 &amp; D201</f>
        <v>Targets/Controller/Custom Devices/PickeringSwitching/Subunit1/Switch1_42</v>
      </c>
      <c r="I201" s="33" t="str">
        <f>"IO" &amp; A195</f>
        <v>IO29</v>
      </c>
      <c r="J201" s="104"/>
      <c r="K201" s="145"/>
      <c r="L201" s="147"/>
      <c r="M201" s="148"/>
      <c r="N201" s="149"/>
    </row>
    <row r="202" spans="1:14" ht="14.65" thickBot="1" x14ac:dyDescent="0.5">
      <c r="A202" s="99"/>
      <c r="B202" s="127"/>
      <c r="C202" s="31" t="str">
        <f>"PXI-2510-1/dut" &amp; D202</f>
        <v>PXI-2510-1/dut28</v>
      </c>
      <c r="D202" s="31">
        <f t="shared" ref="D202:D207" si="127">D194+1</f>
        <v>28</v>
      </c>
      <c r="E202" s="5" t="str">
        <f t="shared" ref="E202:F204" si="128">E194</f>
        <v>FIU</v>
      </c>
      <c r="F202" s="31" t="str">
        <f t="shared" si="128"/>
        <v>TBD</v>
      </c>
      <c r="G202" s="5" t="str">
        <f t="shared" si="107"/>
        <v>None</v>
      </c>
      <c r="H202" s="42" t="s">
        <v>28</v>
      </c>
      <c r="I202" s="19" t="str">
        <f>"IO" &amp; A195</f>
        <v>IO29</v>
      </c>
      <c r="J202" s="105"/>
      <c r="K202" s="146"/>
      <c r="L202" s="130"/>
      <c r="M202" s="133"/>
      <c r="N202" s="136"/>
    </row>
    <row r="203" spans="1:14" ht="15" customHeight="1" x14ac:dyDescent="0.45">
      <c r="A203" s="97">
        <f>A195+1</f>
        <v>30</v>
      </c>
      <c r="B203" s="100" t="str">
        <f>B195</f>
        <v>AO/DO
AO U: 0-10 V
AO R: 10 Ω - 8 MΩ
DO: 0-Vsup</v>
      </c>
      <c r="C203" s="29" t="str">
        <f>"PXIe-6738/AO" &amp; D203</f>
        <v>PXIe-6738/AO29</v>
      </c>
      <c r="D203" s="29">
        <f t="shared" si="127"/>
        <v>29</v>
      </c>
      <c r="E203" s="29" t="str">
        <f t="shared" si="128"/>
        <v>Voltage out 0-10 V</v>
      </c>
      <c r="F203" s="29" t="str">
        <f t="shared" si="128"/>
        <v>AO</v>
      </c>
      <c r="G203" s="8" t="str">
        <f t="shared" si="107"/>
        <v>ATE/IO30/AO</v>
      </c>
      <c r="H203" s="39" t="str">
        <f>Paths!$B$26 &amp; D203</f>
        <v>Targets/Controller/Hardware/Chassis/DAQ/PXI1Slot15/Analog Output/AO29</v>
      </c>
      <c r="I203" s="32" t="str">
        <f>"IO" &amp; A203</f>
        <v>IO30</v>
      </c>
      <c r="J203" s="103" t="s">
        <v>6</v>
      </c>
      <c r="K203" s="144" t="s">
        <v>7</v>
      </c>
      <c r="L203" s="128"/>
      <c r="M203" s="131"/>
      <c r="N203" s="134"/>
    </row>
    <row r="204" spans="1:14" ht="15" customHeight="1" x14ac:dyDescent="0.45">
      <c r="A204" s="98"/>
      <c r="B204" s="126"/>
      <c r="C204" s="30" t="str">
        <f>"PXIe-7820R/DIO" &amp; D204</f>
        <v>PXIe-7820R/DIO29</v>
      </c>
      <c r="D204" s="30">
        <f t="shared" si="127"/>
        <v>29</v>
      </c>
      <c r="E204" s="30" t="str">
        <f t="shared" si="128"/>
        <v>FPGA DO (PWM Gen.)</v>
      </c>
      <c r="F204" s="30" t="str">
        <f t="shared" si="128"/>
        <v>PWM_FR</v>
      </c>
      <c r="G204" s="3" t="str">
        <f t="shared" si="107"/>
        <v>ATE/IO30/PWM_FR</v>
      </c>
      <c r="H204" s="36" t="str">
        <f>Paths!$B$2 &amp; I204 &amp; Paths!$B$6</f>
        <v>Targets/Controller/Custom Devices/FPGA Addon/Scalars/Scalar Outputs/PWM.Out.IO30/FREQ</v>
      </c>
      <c r="I204" s="33" t="str">
        <f>"IO" &amp; A203</f>
        <v>IO30</v>
      </c>
      <c r="J204" s="104"/>
      <c r="K204" s="145"/>
      <c r="L204" s="129"/>
      <c r="M204" s="132"/>
      <c r="N204" s="135"/>
    </row>
    <row r="205" spans="1:14" x14ac:dyDescent="0.45">
      <c r="A205" s="98"/>
      <c r="B205" s="126"/>
      <c r="C205" s="30" t="str">
        <f>"PXIe-7820R/DIO" &amp; D205</f>
        <v>PXIe-7820R/DIO29</v>
      </c>
      <c r="D205" s="30">
        <f t="shared" si="127"/>
        <v>29</v>
      </c>
      <c r="E205" s="30" t="str">
        <f t="shared" ref="E205:F205" si="129">E197</f>
        <v>FPGA DO (PWM Gen.)</v>
      </c>
      <c r="F205" s="30" t="str">
        <f t="shared" si="129"/>
        <v>PWM_DC</v>
      </c>
      <c r="G205" s="3" t="str">
        <f t="shared" si="107"/>
        <v>ATE/IO30/PWM_DC</v>
      </c>
      <c r="H205" s="36" t="str">
        <f>Paths!$B$2 &amp; I205 &amp; Paths!$B$7</f>
        <v>Targets/Controller/Custom Devices/FPGA Addon/Scalars/Scalar Outputs/PWM.Out.IO30/DC</v>
      </c>
      <c r="I205" s="33" t="str">
        <f>"IO" &amp; A203</f>
        <v>IO30</v>
      </c>
      <c r="J205" s="104"/>
      <c r="K205" s="145"/>
      <c r="L205" s="129"/>
      <c r="M205" s="132"/>
      <c r="N205" s="135"/>
    </row>
    <row r="206" spans="1:14" x14ac:dyDescent="0.45">
      <c r="A206" s="98"/>
      <c r="B206" s="126"/>
      <c r="C206" s="30" t="str">
        <f>"SLSC-12201-1/P" &amp; ROUNDDOWN(D206/8,0) &amp; "." &amp; MOD(D206,8)</f>
        <v>SLSC-12201-1/P3.5</v>
      </c>
      <c r="D206" s="30">
        <f t="shared" si="127"/>
        <v>29</v>
      </c>
      <c r="E206" s="30" t="str">
        <f t="shared" ref="E206:F206" si="130">E198</f>
        <v>Output Push-Pull</v>
      </c>
      <c r="F206" s="30" t="str">
        <f t="shared" si="130"/>
        <v>None</v>
      </c>
      <c r="G206" s="3" t="str">
        <f t="shared" si="107"/>
        <v>None</v>
      </c>
      <c r="H206" s="36" t="str">
        <f>Paths!$B$19 &amp; "Bank " &amp; ROUNDDOWN(D206/16,0) &amp; "/Port " &amp; ROUNDDOWN(D206/8,0) &amp; "/Line " &amp;MOD(D206,8) &amp;"/Direction"</f>
        <v>Targets/Controller/Hardware/SLSC/SLSC Chassis/Modules/Slot 8 (SLSC-12201 DIO)/Bank 1/Port 3/Line 5/Direction</v>
      </c>
      <c r="I206" s="33" t="str">
        <f>"IO" &amp; A203</f>
        <v>IO30</v>
      </c>
      <c r="J206" s="104"/>
      <c r="K206" s="145"/>
      <c r="L206" s="129"/>
      <c r="M206" s="132"/>
      <c r="N206" s="135"/>
    </row>
    <row r="207" spans="1:14" x14ac:dyDescent="0.45">
      <c r="A207" s="98"/>
      <c r="B207" s="126"/>
      <c r="C207" s="30" t="str">
        <f>"SLSC-AL3011-1/AO " &amp; D207</f>
        <v>SLSC-AL3011-1/AO 13</v>
      </c>
      <c r="D207" s="3">
        <f t="shared" si="127"/>
        <v>13</v>
      </c>
      <c r="E207" s="30" t="str">
        <f t="shared" ref="E207:F207" si="131">E199</f>
        <v>Resistance 10 Ω - 8 MΩ</v>
      </c>
      <c r="F207" s="30" t="str">
        <f t="shared" si="131"/>
        <v>TBD</v>
      </c>
      <c r="G207" s="3" t="str">
        <f t="shared" si="107"/>
        <v>None</v>
      </c>
      <c r="H207" s="41" t="s">
        <v>28</v>
      </c>
      <c r="I207" s="33" t="str">
        <f>"IO" &amp; A203</f>
        <v>IO30</v>
      </c>
      <c r="J207" s="104"/>
      <c r="K207" s="145"/>
      <c r="L207" s="129"/>
      <c r="M207" s="132"/>
      <c r="N207" s="135"/>
    </row>
    <row r="208" spans="1:14" x14ac:dyDescent="0.45">
      <c r="A208" s="98"/>
      <c r="B208" s="126"/>
      <c r="C208" s="30" t="str">
        <f>"PXI 10-100-001/SPDT" &amp; D208</f>
        <v>PXI 10-100-001/SPDT43</v>
      </c>
      <c r="D208" s="30">
        <f>D201+1</f>
        <v>43</v>
      </c>
      <c r="E208" s="30" t="str">
        <f t="shared" ref="E208:F208" si="132">E200</f>
        <v>DO (SPDT)</v>
      </c>
      <c r="F208" s="30" t="str">
        <f t="shared" si="132"/>
        <v>Select_DO_or_AOR</v>
      </c>
      <c r="G208" s="3" t="str">
        <f t="shared" si="107"/>
        <v>ATE/IO30/Select_DO_or_AOR</v>
      </c>
      <c r="H208" s="41" t="str">
        <f>Paths!$B$12 &amp; D208</f>
        <v>Targets/Controller/Custom Devices/PickeringSwitching/Subunit1/Switch1_43</v>
      </c>
      <c r="I208" s="33" t="str">
        <f>"IO" &amp; A203</f>
        <v>IO30</v>
      </c>
      <c r="J208" s="104"/>
      <c r="K208" s="145"/>
      <c r="L208" s="129"/>
      <c r="M208" s="132"/>
      <c r="N208" s="135"/>
    </row>
    <row r="209" spans="1:14" x14ac:dyDescent="0.45">
      <c r="A209" s="98"/>
      <c r="B209" s="126"/>
      <c r="C209" s="30" t="str">
        <f>"PXI 10-100-001/SPDT" &amp; D209</f>
        <v>PXI 10-100-001/SPDT44</v>
      </c>
      <c r="D209" s="30">
        <f>D208+1</f>
        <v>44</v>
      </c>
      <c r="E209" s="30" t="str">
        <f t="shared" ref="E209:F209" si="133">E201</f>
        <v>DO (SPDT)</v>
      </c>
      <c r="F209" s="30" t="str">
        <f t="shared" si="133"/>
        <v>Select_AOR</v>
      </c>
      <c r="G209" s="3" t="str">
        <f t="shared" si="107"/>
        <v>ATE/IO30/Select_AOR</v>
      </c>
      <c r="H209" s="41" t="str">
        <f>Paths!$B$12 &amp; D209</f>
        <v>Targets/Controller/Custom Devices/PickeringSwitching/Subunit1/Switch1_44</v>
      </c>
      <c r="I209" s="33" t="str">
        <f>"IO" &amp; A203</f>
        <v>IO30</v>
      </c>
      <c r="J209" s="104"/>
      <c r="K209" s="145"/>
      <c r="L209" s="147"/>
      <c r="M209" s="148"/>
      <c r="N209" s="149"/>
    </row>
    <row r="210" spans="1:14" ht="14.65" thickBot="1" x14ac:dyDescent="0.5">
      <c r="A210" s="99"/>
      <c r="B210" s="127"/>
      <c r="C210" s="31" t="str">
        <f>"PXI-2510-1/dut" &amp; D210</f>
        <v>PXI-2510-1/dut29</v>
      </c>
      <c r="D210" s="31">
        <f t="shared" ref="D210:D215" si="134">D202+1</f>
        <v>29</v>
      </c>
      <c r="E210" s="5" t="str">
        <f t="shared" ref="E210:F212" si="135">E202</f>
        <v>FIU</v>
      </c>
      <c r="F210" s="31" t="str">
        <f t="shared" si="135"/>
        <v>TBD</v>
      </c>
      <c r="G210" s="5" t="str">
        <f t="shared" si="107"/>
        <v>None</v>
      </c>
      <c r="H210" s="42" t="s">
        <v>28</v>
      </c>
      <c r="I210" s="19" t="str">
        <f>"IO" &amp; A203</f>
        <v>IO30</v>
      </c>
      <c r="J210" s="105"/>
      <c r="K210" s="146"/>
      <c r="L210" s="130"/>
      <c r="M210" s="133"/>
      <c r="N210" s="136"/>
    </row>
    <row r="211" spans="1:14" ht="15" customHeight="1" x14ac:dyDescent="0.45">
      <c r="A211" s="97">
        <f>A203+1</f>
        <v>31</v>
      </c>
      <c r="B211" s="100" t="str">
        <f>B203</f>
        <v>AO/DO
AO U: 0-10 V
AO R: 10 Ω - 8 MΩ
DO: 0-Vsup</v>
      </c>
      <c r="C211" s="29" t="str">
        <f>"PXIe-6738/AO" &amp; D211</f>
        <v>PXIe-6738/AO30</v>
      </c>
      <c r="D211" s="29">
        <f t="shared" si="134"/>
        <v>30</v>
      </c>
      <c r="E211" s="29" t="str">
        <f t="shared" si="135"/>
        <v>Voltage out 0-10 V</v>
      </c>
      <c r="F211" s="29" t="str">
        <f t="shared" si="135"/>
        <v>AO</v>
      </c>
      <c r="G211" s="8" t="str">
        <f t="shared" ref="G211:G218" si="136">IF(OR(F211="None",F211="TBD"),"None",_xlfn.CONCAT("ATE/",I211,"/",F211))</f>
        <v>ATE/IO31/AO</v>
      </c>
      <c r="H211" s="39" t="str">
        <f>Paths!$B$26 &amp; D211</f>
        <v>Targets/Controller/Hardware/Chassis/DAQ/PXI1Slot15/Analog Output/AO30</v>
      </c>
      <c r="I211" s="32" t="str">
        <f>"IO" &amp; A211</f>
        <v>IO31</v>
      </c>
      <c r="J211" s="103" t="s">
        <v>6</v>
      </c>
      <c r="K211" s="144" t="s">
        <v>7</v>
      </c>
      <c r="L211" s="128"/>
      <c r="M211" s="131"/>
      <c r="N211" s="134"/>
    </row>
    <row r="212" spans="1:14" ht="15" customHeight="1" x14ac:dyDescent="0.45">
      <c r="A212" s="98"/>
      <c r="B212" s="126"/>
      <c r="C212" s="30" t="str">
        <f>"PXIe-7820R/DIO" &amp; D212</f>
        <v>PXIe-7820R/DIO30</v>
      </c>
      <c r="D212" s="30">
        <f t="shared" si="134"/>
        <v>30</v>
      </c>
      <c r="E212" s="30" t="str">
        <f t="shared" si="135"/>
        <v>FPGA DO (PWM Gen.)</v>
      </c>
      <c r="F212" s="30" t="str">
        <f t="shared" si="135"/>
        <v>PWM_FR</v>
      </c>
      <c r="G212" s="3" t="str">
        <f t="shared" si="136"/>
        <v>ATE/IO31/PWM_FR</v>
      </c>
      <c r="H212" s="36" t="str">
        <f>Paths!$B$2 &amp; I212 &amp; Paths!$B$6</f>
        <v>Targets/Controller/Custom Devices/FPGA Addon/Scalars/Scalar Outputs/PWM.Out.IO31/FREQ</v>
      </c>
      <c r="I212" s="33" t="str">
        <f>"IO" &amp; A211</f>
        <v>IO31</v>
      </c>
      <c r="J212" s="104"/>
      <c r="K212" s="145"/>
      <c r="L212" s="129"/>
      <c r="M212" s="132"/>
      <c r="N212" s="135"/>
    </row>
    <row r="213" spans="1:14" x14ac:dyDescent="0.45">
      <c r="A213" s="98"/>
      <c r="B213" s="126"/>
      <c r="C213" s="30" t="str">
        <f>"PXIe-7820R/DIO" &amp; D213</f>
        <v>PXIe-7820R/DIO30</v>
      </c>
      <c r="D213" s="30">
        <f t="shared" si="134"/>
        <v>30</v>
      </c>
      <c r="E213" s="30" t="str">
        <f t="shared" ref="E213:F213" si="137">E205</f>
        <v>FPGA DO (PWM Gen.)</v>
      </c>
      <c r="F213" s="30" t="str">
        <f t="shared" si="137"/>
        <v>PWM_DC</v>
      </c>
      <c r="G213" s="3" t="str">
        <f t="shared" si="136"/>
        <v>ATE/IO31/PWM_DC</v>
      </c>
      <c r="H213" s="36" t="str">
        <f>Paths!$B$2 &amp; I213 &amp; Paths!$B$7</f>
        <v>Targets/Controller/Custom Devices/FPGA Addon/Scalars/Scalar Outputs/PWM.Out.IO31/DC</v>
      </c>
      <c r="I213" s="33" t="str">
        <f>"IO" &amp; A211</f>
        <v>IO31</v>
      </c>
      <c r="J213" s="104"/>
      <c r="K213" s="145"/>
      <c r="L213" s="129"/>
      <c r="M213" s="132"/>
      <c r="N213" s="135"/>
    </row>
    <row r="214" spans="1:14" x14ac:dyDescent="0.45">
      <c r="A214" s="98"/>
      <c r="B214" s="126"/>
      <c r="C214" s="30" t="str">
        <f>"SLSC-12201-1/P" &amp; ROUNDDOWN(D214/8,0) &amp; "." &amp; MOD(D214,8)</f>
        <v>SLSC-12201-1/P3.6</v>
      </c>
      <c r="D214" s="30">
        <f t="shared" si="134"/>
        <v>30</v>
      </c>
      <c r="E214" s="30" t="str">
        <f t="shared" ref="E214:F214" si="138">E206</f>
        <v>Output Push-Pull</v>
      </c>
      <c r="F214" s="30" t="str">
        <f t="shared" si="138"/>
        <v>None</v>
      </c>
      <c r="G214" s="3" t="str">
        <f t="shared" si="136"/>
        <v>None</v>
      </c>
      <c r="H214" s="36" t="str">
        <f>Paths!$B$19 &amp; "Bank " &amp; ROUNDDOWN(D214/16,0) &amp; "/Port " &amp; ROUNDDOWN(D214/8,0) &amp; "/Line " &amp;MOD(D214,8) &amp;"/Direction"</f>
        <v>Targets/Controller/Hardware/SLSC/SLSC Chassis/Modules/Slot 8 (SLSC-12201 DIO)/Bank 1/Port 3/Line 6/Direction</v>
      </c>
      <c r="I214" s="33" t="str">
        <f>"IO" &amp; A211</f>
        <v>IO31</v>
      </c>
      <c r="J214" s="104"/>
      <c r="K214" s="145"/>
      <c r="L214" s="129"/>
      <c r="M214" s="132"/>
      <c r="N214" s="135"/>
    </row>
    <row r="215" spans="1:14" x14ac:dyDescent="0.45">
      <c r="A215" s="98"/>
      <c r="B215" s="126"/>
      <c r="C215" s="30" t="str">
        <f>"SLSC-AL3011-1/AO " &amp; D215</f>
        <v>SLSC-AL3011-1/AO 14</v>
      </c>
      <c r="D215" s="3">
        <f t="shared" si="134"/>
        <v>14</v>
      </c>
      <c r="E215" s="30" t="str">
        <f t="shared" ref="E215:F215" si="139">E207</f>
        <v>Resistance 10 Ω - 8 MΩ</v>
      </c>
      <c r="F215" s="30" t="str">
        <f t="shared" si="139"/>
        <v>TBD</v>
      </c>
      <c r="G215" s="3" t="str">
        <f t="shared" si="136"/>
        <v>None</v>
      </c>
      <c r="H215" s="41" t="s">
        <v>28</v>
      </c>
      <c r="I215" s="33" t="str">
        <f>"IO" &amp; A211</f>
        <v>IO31</v>
      </c>
      <c r="J215" s="104"/>
      <c r="K215" s="145"/>
      <c r="L215" s="129"/>
      <c r="M215" s="132"/>
      <c r="N215" s="135"/>
    </row>
    <row r="216" spans="1:14" x14ac:dyDescent="0.45">
      <c r="A216" s="98"/>
      <c r="B216" s="126"/>
      <c r="C216" s="30" t="str">
        <f>"PXI 10-100-001/SPDT" &amp; D216</f>
        <v>PXI 10-100-001/SPDT45</v>
      </c>
      <c r="D216" s="30">
        <f>D209+1</f>
        <v>45</v>
      </c>
      <c r="E216" s="30" t="str">
        <f t="shared" ref="E216:F216" si="140">E208</f>
        <v>DO (SPDT)</v>
      </c>
      <c r="F216" s="30" t="str">
        <f t="shared" si="140"/>
        <v>Select_DO_or_AOR</v>
      </c>
      <c r="G216" s="3" t="str">
        <f t="shared" si="136"/>
        <v>ATE/IO31/Select_DO_or_AOR</v>
      </c>
      <c r="H216" s="41" t="str">
        <f>Paths!$B$12 &amp; D216</f>
        <v>Targets/Controller/Custom Devices/PickeringSwitching/Subunit1/Switch1_45</v>
      </c>
      <c r="I216" s="33" t="str">
        <f>"IO" &amp; A211</f>
        <v>IO31</v>
      </c>
      <c r="J216" s="104"/>
      <c r="K216" s="145"/>
      <c r="L216" s="129"/>
      <c r="M216" s="132"/>
      <c r="N216" s="135"/>
    </row>
    <row r="217" spans="1:14" x14ac:dyDescent="0.45">
      <c r="A217" s="98"/>
      <c r="B217" s="126"/>
      <c r="C217" s="30" t="str">
        <f>"PXI 10-100-001/SPDT" &amp; D217</f>
        <v>PXI 10-100-001/SPDT46</v>
      </c>
      <c r="D217" s="30">
        <f>D216+1</f>
        <v>46</v>
      </c>
      <c r="E217" s="30" t="str">
        <f t="shared" ref="E217:F217" si="141">E209</f>
        <v>DO (SPDT)</v>
      </c>
      <c r="F217" s="30" t="str">
        <f t="shared" si="141"/>
        <v>Select_AOR</v>
      </c>
      <c r="G217" s="3" t="str">
        <f t="shared" si="136"/>
        <v>ATE/IO31/Select_AOR</v>
      </c>
      <c r="H217" s="41" t="str">
        <f>Paths!$B$12 &amp; D217</f>
        <v>Targets/Controller/Custom Devices/PickeringSwitching/Subunit1/Switch1_46</v>
      </c>
      <c r="I217" s="33" t="str">
        <f>"IO" &amp; A211</f>
        <v>IO31</v>
      </c>
      <c r="J217" s="104"/>
      <c r="K217" s="145"/>
      <c r="L217" s="147"/>
      <c r="M217" s="148"/>
      <c r="N217" s="149"/>
    </row>
    <row r="218" spans="1:14" ht="14.65" thickBot="1" x14ac:dyDescent="0.5">
      <c r="A218" s="99"/>
      <c r="B218" s="127"/>
      <c r="C218" s="31" t="str">
        <f>"PXI-2510-1/dut" &amp; D218</f>
        <v>PXI-2510-1/dut30</v>
      </c>
      <c r="D218" s="31">
        <f t="shared" ref="D218:D223" si="142">D210+1</f>
        <v>30</v>
      </c>
      <c r="E218" s="5" t="str">
        <f t="shared" ref="E218:F220" si="143">E210</f>
        <v>FIU</v>
      </c>
      <c r="F218" s="31" t="str">
        <f t="shared" si="143"/>
        <v>TBD</v>
      </c>
      <c r="G218" s="5" t="str">
        <f t="shared" si="136"/>
        <v>None</v>
      </c>
      <c r="H218" s="42" t="s">
        <v>28</v>
      </c>
      <c r="I218" s="19" t="str">
        <f>"IO" &amp; A211</f>
        <v>IO31</v>
      </c>
      <c r="J218" s="105"/>
      <c r="K218" s="146"/>
      <c r="L218" s="130"/>
      <c r="M218" s="133"/>
      <c r="N218" s="136"/>
    </row>
    <row r="219" spans="1:14" ht="15" customHeight="1" x14ac:dyDescent="0.45">
      <c r="A219" s="97">
        <f>A211+1</f>
        <v>32</v>
      </c>
      <c r="B219" s="100" t="str">
        <f>B211</f>
        <v>AO/DO
AO U: 0-10 V
AO R: 10 Ω - 8 MΩ
DO: 0-Vsup</v>
      </c>
      <c r="C219" s="29" t="str">
        <f>"PXIe-6738/AO" &amp; D219</f>
        <v>PXIe-6738/AO31</v>
      </c>
      <c r="D219" s="29">
        <f t="shared" si="142"/>
        <v>31</v>
      </c>
      <c r="E219" s="29" t="str">
        <f t="shared" si="143"/>
        <v>Voltage out 0-10 V</v>
      </c>
      <c r="F219" s="29" t="str">
        <f t="shared" si="143"/>
        <v>AO</v>
      </c>
      <c r="G219" s="8" t="str">
        <f t="shared" ref="G219:G226" si="144">IF(OR(F219="None",F219="TBD"),"None",_xlfn.CONCAT("ATE/",I219,"/",F219))</f>
        <v>ATE/IO32/AO</v>
      </c>
      <c r="H219" s="39" t="str">
        <f>Paths!$B$26 &amp; D219</f>
        <v>Targets/Controller/Hardware/Chassis/DAQ/PXI1Slot15/Analog Output/AO31</v>
      </c>
      <c r="I219" s="32" t="str">
        <f>"IO" &amp; A219</f>
        <v>IO32</v>
      </c>
      <c r="J219" s="103" t="s">
        <v>6</v>
      </c>
      <c r="K219" s="144" t="s">
        <v>7</v>
      </c>
      <c r="L219" s="128"/>
      <c r="M219" s="131"/>
      <c r="N219" s="134"/>
    </row>
    <row r="220" spans="1:14" ht="15" customHeight="1" x14ac:dyDescent="0.45">
      <c r="A220" s="98"/>
      <c r="B220" s="126"/>
      <c r="C220" s="30" t="str">
        <f>"PXIe-7820R/DIO" &amp; D220</f>
        <v>PXIe-7820R/DIO31</v>
      </c>
      <c r="D220" s="30">
        <f t="shared" si="142"/>
        <v>31</v>
      </c>
      <c r="E220" s="30" t="str">
        <f t="shared" si="143"/>
        <v>FPGA DO (PWM Gen.)</v>
      </c>
      <c r="F220" s="30" t="str">
        <f t="shared" si="143"/>
        <v>PWM_FR</v>
      </c>
      <c r="G220" s="3" t="str">
        <f t="shared" si="144"/>
        <v>ATE/IO32/PWM_FR</v>
      </c>
      <c r="H220" s="36" t="str">
        <f>Paths!$B$2 &amp; I220 &amp; Paths!$B$6</f>
        <v>Targets/Controller/Custom Devices/FPGA Addon/Scalars/Scalar Outputs/PWM.Out.IO32/FREQ</v>
      </c>
      <c r="I220" s="33" t="str">
        <f>"IO" &amp; A219</f>
        <v>IO32</v>
      </c>
      <c r="J220" s="104"/>
      <c r="K220" s="145"/>
      <c r="L220" s="129"/>
      <c r="M220" s="132"/>
      <c r="N220" s="135"/>
    </row>
    <row r="221" spans="1:14" x14ac:dyDescent="0.45">
      <c r="A221" s="98"/>
      <c r="B221" s="126"/>
      <c r="C221" s="30" t="str">
        <f>"PXIe-7820R/DIO" &amp; D221</f>
        <v>PXIe-7820R/DIO31</v>
      </c>
      <c r="D221" s="30">
        <f t="shared" si="142"/>
        <v>31</v>
      </c>
      <c r="E221" s="30" t="str">
        <f t="shared" ref="E221:F221" si="145">E213</f>
        <v>FPGA DO (PWM Gen.)</v>
      </c>
      <c r="F221" s="30" t="str">
        <f t="shared" si="145"/>
        <v>PWM_DC</v>
      </c>
      <c r="G221" s="3" t="str">
        <f t="shared" si="144"/>
        <v>ATE/IO32/PWM_DC</v>
      </c>
      <c r="H221" s="36" t="str">
        <f>Paths!$B$2 &amp; I221 &amp; Paths!$B$7</f>
        <v>Targets/Controller/Custom Devices/FPGA Addon/Scalars/Scalar Outputs/PWM.Out.IO32/DC</v>
      </c>
      <c r="I221" s="33" t="str">
        <f>"IO" &amp; A219</f>
        <v>IO32</v>
      </c>
      <c r="J221" s="104"/>
      <c r="K221" s="145"/>
      <c r="L221" s="129"/>
      <c r="M221" s="132"/>
      <c r="N221" s="135"/>
    </row>
    <row r="222" spans="1:14" x14ac:dyDescent="0.45">
      <c r="A222" s="98"/>
      <c r="B222" s="126"/>
      <c r="C222" s="30" t="str">
        <f>"SLSC-12201-1/P" &amp; ROUNDDOWN(D222/8,0) &amp; "." &amp; MOD(D222,8)</f>
        <v>SLSC-12201-1/P3.7</v>
      </c>
      <c r="D222" s="30">
        <f t="shared" si="142"/>
        <v>31</v>
      </c>
      <c r="E222" s="30" t="str">
        <f t="shared" ref="E222:F222" si="146">E214</f>
        <v>Output Push-Pull</v>
      </c>
      <c r="F222" s="30" t="str">
        <f t="shared" si="146"/>
        <v>None</v>
      </c>
      <c r="G222" s="3" t="str">
        <f t="shared" si="144"/>
        <v>None</v>
      </c>
      <c r="H222" s="36" t="str">
        <f>Paths!$B$19 &amp; "Bank " &amp; ROUNDDOWN(D222/16,0) &amp; "/Port " &amp; ROUNDDOWN(D222/8,0) &amp; "/Line " &amp;MOD(D222,8) &amp;"/Direction"</f>
        <v>Targets/Controller/Hardware/SLSC/SLSC Chassis/Modules/Slot 8 (SLSC-12201 DIO)/Bank 1/Port 3/Line 7/Direction</v>
      </c>
      <c r="I222" s="33" t="str">
        <f>"IO" &amp; A219</f>
        <v>IO32</v>
      </c>
      <c r="J222" s="104"/>
      <c r="K222" s="145"/>
      <c r="L222" s="129"/>
      <c r="M222" s="132"/>
      <c r="N222" s="135"/>
    </row>
    <row r="223" spans="1:14" x14ac:dyDescent="0.45">
      <c r="A223" s="98"/>
      <c r="B223" s="126"/>
      <c r="C223" s="30" t="str">
        <f>"SLSC-AL3011-1/AO " &amp; D223</f>
        <v>SLSC-AL3011-1/AO 15</v>
      </c>
      <c r="D223" s="3">
        <f t="shared" si="142"/>
        <v>15</v>
      </c>
      <c r="E223" s="30" t="str">
        <f t="shared" ref="E223:F223" si="147">E215</f>
        <v>Resistance 10 Ω - 8 MΩ</v>
      </c>
      <c r="F223" s="30" t="str">
        <f t="shared" si="147"/>
        <v>TBD</v>
      </c>
      <c r="G223" s="3" t="str">
        <f t="shared" si="144"/>
        <v>None</v>
      </c>
      <c r="H223" s="41" t="s">
        <v>28</v>
      </c>
      <c r="I223" s="33" t="str">
        <f>"IO" &amp; A219</f>
        <v>IO32</v>
      </c>
      <c r="J223" s="104"/>
      <c r="K223" s="145"/>
      <c r="L223" s="129"/>
      <c r="M223" s="132"/>
      <c r="N223" s="135"/>
    </row>
    <row r="224" spans="1:14" x14ac:dyDescent="0.45">
      <c r="A224" s="98"/>
      <c r="B224" s="126"/>
      <c r="C224" s="30" t="str">
        <f>"PXI 10-100-001/SPDT" &amp; D224</f>
        <v>PXI 10-100-001/SPDT47</v>
      </c>
      <c r="D224" s="30">
        <f>D217+1</f>
        <v>47</v>
      </c>
      <c r="E224" s="30" t="str">
        <f t="shared" ref="E224:F224" si="148">E216</f>
        <v>DO (SPDT)</v>
      </c>
      <c r="F224" s="30" t="str">
        <f t="shared" si="148"/>
        <v>Select_DO_or_AOR</v>
      </c>
      <c r="G224" s="3" t="str">
        <f t="shared" si="144"/>
        <v>ATE/IO32/Select_DO_or_AOR</v>
      </c>
      <c r="H224" s="41" t="str">
        <f>Paths!$B$12 &amp; D224</f>
        <v>Targets/Controller/Custom Devices/PickeringSwitching/Subunit1/Switch1_47</v>
      </c>
      <c r="I224" s="33" t="str">
        <f>"IO" &amp; A219</f>
        <v>IO32</v>
      </c>
      <c r="J224" s="104"/>
      <c r="K224" s="145"/>
      <c r="L224" s="129"/>
      <c r="M224" s="132"/>
      <c r="N224" s="135"/>
    </row>
    <row r="225" spans="1:14" x14ac:dyDescent="0.45">
      <c r="A225" s="98"/>
      <c r="B225" s="126"/>
      <c r="C225" s="30" t="str">
        <f>"PXI 10-100-001/SPDT" &amp; D225</f>
        <v>PXI 10-100-001/SPDT48</v>
      </c>
      <c r="D225" s="30">
        <f>D224+1</f>
        <v>48</v>
      </c>
      <c r="E225" s="30" t="str">
        <f t="shared" ref="E225:F225" si="149">E217</f>
        <v>DO (SPDT)</v>
      </c>
      <c r="F225" s="30" t="str">
        <f t="shared" si="149"/>
        <v>Select_AOR</v>
      </c>
      <c r="G225" s="3" t="str">
        <f t="shared" si="144"/>
        <v>ATE/IO32/Select_AOR</v>
      </c>
      <c r="H225" s="41" t="str">
        <f>Paths!$B$12 &amp; D225</f>
        <v>Targets/Controller/Custom Devices/PickeringSwitching/Subunit1/Switch1_48</v>
      </c>
      <c r="I225" s="33" t="str">
        <f>"IO" &amp; A219</f>
        <v>IO32</v>
      </c>
      <c r="J225" s="104"/>
      <c r="K225" s="145"/>
      <c r="L225" s="147"/>
      <c r="M225" s="148"/>
      <c r="N225" s="149"/>
    </row>
    <row r="226" spans="1:14" ht="14.65" thickBot="1" x14ac:dyDescent="0.5">
      <c r="A226" s="99"/>
      <c r="B226" s="127"/>
      <c r="C226" s="31" t="str">
        <f>"PXI-2510-1/dut" &amp; D226</f>
        <v>PXI-2510-1/dut31</v>
      </c>
      <c r="D226" s="31">
        <f>D218+1</f>
        <v>31</v>
      </c>
      <c r="E226" s="5" t="str">
        <f>E218</f>
        <v>FIU</v>
      </c>
      <c r="F226" s="31" t="str">
        <f>F218</f>
        <v>TBD</v>
      </c>
      <c r="G226" s="5" t="str">
        <f t="shared" si="144"/>
        <v>None</v>
      </c>
      <c r="H226" s="42" t="s">
        <v>28</v>
      </c>
      <c r="I226" s="19" t="str">
        <f>"IO" &amp; A219</f>
        <v>IO32</v>
      </c>
      <c r="J226" s="105"/>
      <c r="K226" s="146"/>
      <c r="L226" s="130"/>
      <c r="M226" s="133"/>
      <c r="N226" s="136"/>
    </row>
    <row r="227" spans="1:14" ht="72" customHeight="1" thickBot="1" x14ac:dyDescent="0.5">
      <c r="A227" s="43"/>
      <c r="B227" s="43"/>
      <c r="C227" s="43"/>
      <c r="D227" s="43"/>
      <c r="E227" s="1"/>
      <c r="F227" s="1"/>
      <c r="G227" s="1"/>
      <c r="H227" s="43"/>
      <c r="I227" s="1"/>
      <c r="J227" s="1"/>
      <c r="K227" s="1"/>
      <c r="L227" s="1"/>
      <c r="M227" s="1"/>
      <c r="N227" s="1"/>
    </row>
    <row r="228" spans="1:14" ht="28.5" x14ac:dyDescent="0.45">
      <c r="A228" s="97">
        <f>A219+1</f>
        <v>33</v>
      </c>
      <c r="B228" s="123" t="s">
        <v>113</v>
      </c>
      <c r="C228" s="29" t="str">
        <f>"PXIe-4322-1/AO" &amp; D228</f>
        <v>PXIe-4322-1/AO0</v>
      </c>
      <c r="D228" s="44">
        <v>0</v>
      </c>
      <c r="E228" s="54" t="s">
        <v>8</v>
      </c>
      <c r="F228" s="44" t="s">
        <v>24</v>
      </c>
      <c r="G228" s="29" t="str">
        <f t="shared" ref="G228:G259" si="150">IF(OR(F228="None",F228="TBD"),"None",_xlfn.CONCAT("ATE/",I228,"/",F228))</f>
        <v>ATE/IO33/AO</v>
      </c>
      <c r="H228" s="39" t="str">
        <f>Paths!$B$22 &amp; D228</f>
        <v>Targets/Controller/Hardware/Chassis/DAQ/PXI1Slot11/Analog Output/AO0</v>
      </c>
      <c r="I228" s="32" t="str">
        <f>"IO" &amp; A228</f>
        <v>IO33</v>
      </c>
      <c r="J228" s="103" t="s">
        <v>6</v>
      </c>
      <c r="K228" s="144" t="s">
        <v>7</v>
      </c>
      <c r="L228" s="128"/>
      <c r="M228" s="131"/>
      <c r="N228" s="134"/>
    </row>
    <row r="229" spans="1:14" x14ac:dyDescent="0.45">
      <c r="A229" s="98"/>
      <c r="B229" s="153"/>
      <c r="C229" s="30" t="str">
        <f>"SLSC-AL3011-1/AO " &amp; D229</f>
        <v>SLSC-AL3011-1/AO 16</v>
      </c>
      <c r="D229" s="45">
        <v>16</v>
      </c>
      <c r="E229" s="47" t="s">
        <v>15</v>
      </c>
      <c r="F229" s="45" t="s">
        <v>28</v>
      </c>
      <c r="G229" s="30" t="str">
        <f t="shared" si="150"/>
        <v>None</v>
      </c>
      <c r="H229" s="41" t="s">
        <v>28</v>
      </c>
      <c r="I229" s="60" t="str">
        <f>"IO" &amp; A228</f>
        <v>IO33</v>
      </c>
      <c r="J229" s="104"/>
      <c r="K229" s="145"/>
      <c r="L229" s="156"/>
      <c r="M229" s="157"/>
      <c r="N229" s="158"/>
    </row>
    <row r="230" spans="1:14" x14ac:dyDescent="0.45">
      <c r="A230" s="98"/>
      <c r="B230" s="153"/>
      <c r="C230" s="30" t="str">
        <f>"PXI 10-100-001/SPDT" &amp; D230</f>
        <v>PXI 10-100-001/SPDT51</v>
      </c>
      <c r="D230" s="45">
        <v>51</v>
      </c>
      <c r="E230" s="45" t="s">
        <v>21</v>
      </c>
      <c r="F230" s="45" t="s">
        <v>118</v>
      </c>
      <c r="G230" s="30" t="str">
        <f t="shared" si="150"/>
        <v>ATE/IO33/Select_AOR</v>
      </c>
      <c r="H230" s="41" t="str">
        <f>Paths!$B$12 &amp; D230</f>
        <v>Targets/Controller/Custom Devices/PickeringSwitching/Subunit1/Switch1_51</v>
      </c>
      <c r="I230" s="60" t="str">
        <f>"IO" &amp; A228</f>
        <v>IO33</v>
      </c>
      <c r="J230" s="104"/>
      <c r="K230" s="145"/>
      <c r="L230" s="129"/>
      <c r="M230" s="132"/>
      <c r="N230" s="135"/>
    </row>
    <row r="231" spans="1:14" ht="14.65" thickBot="1" x14ac:dyDescent="0.5">
      <c r="A231" s="99"/>
      <c r="B231" s="154"/>
      <c r="C231" s="31" t="str">
        <f>"PXI-2510-1/dut" &amp; D231</f>
        <v>PXI-2510-1/dut32</v>
      </c>
      <c r="D231" s="46">
        <v>32</v>
      </c>
      <c r="E231" s="46" t="s">
        <v>0</v>
      </c>
      <c r="F231" s="46" t="s">
        <v>28</v>
      </c>
      <c r="G231" s="31" t="str">
        <f t="shared" si="150"/>
        <v>None</v>
      </c>
      <c r="H231" s="42" t="s">
        <v>28</v>
      </c>
      <c r="I231" s="61" t="str">
        <f>"IO" &amp; A228</f>
        <v>IO33</v>
      </c>
      <c r="J231" s="105"/>
      <c r="K231" s="146"/>
      <c r="L231" s="130"/>
      <c r="M231" s="133"/>
      <c r="N231" s="136"/>
    </row>
    <row r="232" spans="1:14" ht="28.5" x14ac:dyDescent="0.45">
      <c r="A232" s="97">
        <f>A228+1</f>
        <v>34</v>
      </c>
      <c r="B232" s="100" t="str">
        <f>B228</f>
        <v>AO
AO U: 0-16 V
AO I: 0-20 mA
AO R: 10 Ω - 8 MΩ</v>
      </c>
      <c r="C232" s="29" t="str">
        <f>"PXIe-4322-1/AO" &amp; D232</f>
        <v>PXIe-4322-1/AO1</v>
      </c>
      <c r="D232" s="29">
        <f t="shared" ref="D232:D259" si="151">D228+1</f>
        <v>1</v>
      </c>
      <c r="E232" s="55" t="str">
        <f t="shared" ref="E232:E263" si="152">E228</f>
        <v>Voltage out 0-16 V /
Current out 0-20 mA</v>
      </c>
      <c r="F232" s="29" t="str">
        <f t="shared" ref="F232:F263" si="153">F228</f>
        <v>AO</v>
      </c>
      <c r="G232" s="29" t="str">
        <f t="shared" si="150"/>
        <v>ATE/IO34/AO</v>
      </c>
      <c r="H232" s="39" t="str">
        <f>Paths!$B$22 &amp; D232</f>
        <v>Targets/Controller/Hardware/Chassis/DAQ/PXI1Slot11/Analog Output/AO1</v>
      </c>
      <c r="I232" s="32" t="str">
        <f>"IO" &amp; A232</f>
        <v>IO34</v>
      </c>
      <c r="J232" s="103" t="s">
        <v>6</v>
      </c>
      <c r="K232" s="144" t="s">
        <v>7</v>
      </c>
      <c r="L232" s="128"/>
      <c r="M232" s="131"/>
      <c r="N232" s="134"/>
    </row>
    <row r="233" spans="1:14" x14ac:dyDescent="0.45">
      <c r="A233" s="98"/>
      <c r="B233" s="126"/>
      <c r="C233" s="30" t="str">
        <f>"SLSC-AL3011-1/AO " &amp; D233</f>
        <v>SLSC-AL3011-1/AO 17</v>
      </c>
      <c r="D233" s="30">
        <f t="shared" si="151"/>
        <v>17</v>
      </c>
      <c r="E233" s="56" t="str">
        <f t="shared" si="152"/>
        <v>Resistance 10 Ω - 8 MΩ</v>
      </c>
      <c r="F233" s="30" t="str">
        <f t="shared" si="153"/>
        <v>TBD</v>
      </c>
      <c r="G233" s="30" t="str">
        <f t="shared" si="150"/>
        <v>None</v>
      </c>
      <c r="H233" s="41" t="s">
        <v>28</v>
      </c>
      <c r="I233" s="60" t="str">
        <f>"IO" &amp; A232</f>
        <v>IO34</v>
      </c>
      <c r="J233" s="104"/>
      <c r="K233" s="145"/>
      <c r="L233" s="156"/>
      <c r="M233" s="157"/>
      <c r="N233" s="158"/>
    </row>
    <row r="234" spans="1:14" x14ac:dyDescent="0.45">
      <c r="A234" s="98"/>
      <c r="B234" s="126"/>
      <c r="C234" s="30" t="str">
        <f>"PXI 10-100-001/SPDT" &amp; D234</f>
        <v>PXI 10-100-001/SPDT52</v>
      </c>
      <c r="D234" s="30">
        <f t="shared" si="151"/>
        <v>52</v>
      </c>
      <c r="E234" s="30" t="str">
        <f t="shared" si="152"/>
        <v>DO (SPDT)</v>
      </c>
      <c r="F234" s="30" t="str">
        <f t="shared" si="153"/>
        <v>Select_AOR</v>
      </c>
      <c r="G234" s="30" t="str">
        <f t="shared" si="150"/>
        <v>ATE/IO34/Select_AOR</v>
      </c>
      <c r="H234" s="41" t="str">
        <f>Paths!$B$12 &amp; D234</f>
        <v>Targets/Controller/Custom Devices/PickeringSwitching/Subunit1/Switch1_52</v>
      </c>
      <c r="I234" s="60" t="str">
        <f>"IO" &amp; A232</f>
        <v>IO34</v>
      </c>
      <c r="J234" s="104"/>
      <c r="K234" s="145"/>
      <c r="L234" s="129"/>
      <c r="M234" s="132"/>
      <c r="N234" s="135"/>
    </row>
    <row r="235" spans="1:14" ht="14.65" thickBot="1" x14ac:dyDescent="0.5">
      <c r="A235" s="99"/>
      <c r="B235" s="127"/>
      <c r="C235" s="31" t="str">
        <f>"PXI-2510-1/dut" &amp; D235</f>
        <v>PXI-2510-1/dut33</v>
      </c>
      <c r="D235" s="31">
        <f t="shared" si="151"/>
        <v>33</v>
      </c>
      <c r="E235" s="31" t="str">
        <f t="shared" si="152"/>
        <v>FIU</v>
      </c>
      <c r="F235" s="31" t="str">
        <f t="shared" si="153"/>
        <v>TBD</v>
      </c>
      <c r="G235" s="31" t="str">
        <f t="shared" si="150"/>
        <v>None</v>
      </c>
      <c r="H235" s="42" t="s">
        <v>28</v>
      </c>
      <c r="I235" s="61" t="str">
        <f>"IO" &amp; A232</f>
        <v>IO34</v>
      </c>
      <c r="J235" s="105"/>
      <c r="K235" s="146"/>
      <c r="L235" s="130"/>
      <c r="M235" s="133"/>
      <c r="N235" s="136"/>
    </row>
    <row r="236" spans="1:14" ht="28.5" x14ac:dyDescent="0.45">
      <c r="A236" s="97">
        <f>A232+1</f>
        <v>35</v>
      </c>
      <c r="B236" s="100" t="str">
        <f>B232</f>
        <v>AO
AO U: 0-16 V
AO I: 0-20 mA
AO R: 10 Ω - 8 MΩ</v>
      </c>
      <c r="C236" s="29" t="str">
        <f>"PXIe-4322-1/AO" &amp; D236</f>
        <v>PXIe-4322-1/AO2</v>
      </c>
      <c r="D236" s="29">
        <f t="shared" si="151"/>
        <v>2</v>
      </c>
      <c r="E236" s="55" t="str">
        <f t="shared" si="152"/>
        <v>Voltage out 0-16 V /
Current out 0-20 mA</v>
      </c>
      <c r="F236" s="29" t="str">
        <f t="shared" si="153"/>
        <v>AO</v>
      </c>
      <c r="G236" s="29" t="str">
        <f t="shared" si="150"/>
        <v>ATE/IO35/AO</v>
      </c>
      <c r="H236" s="39" t="str">
        <f>Paths!$B$22 &amp; D236</f>
        <v>Targets/Controller/Hardware/Chassis/DAQ/PXI1Slot11/Analog Output/AO2</v>
      </c>
      <c r="I236" s="32" t="str">
        <f>"IO" &amp; A236</f>
        <v>IO35</v>
      </c>
      <c r="J236" s="103" t="s">
        <v>6</v>
      </c>
      <c r="K236" s="144" t="s">
        <v>7</v>
      </c>
      <c r="L236" s="128"/>
      <c r="M236" s="131"/>
      <c r="N236" s="134"/>
    </row>
    <row r="237" spans="1:14" x14ac:dyDescent="0.45">
      <c r="A237" s="98"/>
      <c r="B237" s="126"/>
      <c r="C237" s="30" t="str">
        <f>"SLSC-AL3011-1/AO " &amp; D237</f>
        <v>SLSC-AL3011-1/AO 18</v>
      </c>
      <c r="D237" s="30">
        <f t="shared" si="151"/>
        <v>18</v>
      </c>
      <c r="E237" s="56" t="str">
        <f t="shared" si="152"/>
        <v>Resistance 10 Ω - 8 MΩ</v>
      </c>
      <c r="F237" s="30" t="str">
        <f t="shared" si="153"/>
        <v>TBD</v>
      </c>
      <c r="G237" s="30" t="str">
        <f t="shared" si="150"/>
        <v>None</v>
      </c>
      <c r="H237" s="41" t="s">
        <v>28</v>
      </c>
      <c r="I237" s="60" t="str">
        <f>"IO" &amp; A236</f>
        <v>IO35</v>
      </c>
      <c r="J237" s="104"/>
      <c r="K237" s="145"/>
      <c r="L237" s="156"/>
      <c r="M237" s="157"/>
      <c r="N237" s="158"/>
    </row>
    <row r="238" spans="1:14" x14ac:dyDescent="0.45">
      <c r="A238" s="98"/>
      <c r="B238" s="126"/>
      <c r="C238" s="30" t="str">
        <f>"PXI 10-100-001/SPDT" &amp; D238</f>
        <v>PXI 10-100-001/SPDT53</v>
      </c>
      <c r="D238" s="30">
        <f t="shared" si="151"/>
        <v>53</v>
      </c>
      <c r="E238" s="30" t="str">
        <f t="shared" si="152"/>
        <v>DO (SPDT)</v>
      </c>
      <c r="F238" s="30" t="str">
        <f t="shared" si="153"/>
        <v>Select_AOR</v>
      </c>
      <c r="G238" s="30" t="str">
        <f t="shared" si="150"/>
        <v>ATE/IO35/Select_AOR</v>
      </c>
      <c r="H238" s="41" t="str">
        <f>Paths!$B$12 &amp; D238</f>
        <v>Targets/Controller/Custom Devices/PickeringSwitching/Subunit1/Switch1_53</v>
      </c>
      <c r="I238" s="60" t="str">
        <f>"IO" &amp; A236</f>
        <v>IO35</v>
      </c>
      <c r="J238" s="104"/>
      <c r="K238" s="145"/>
      <c r="L238" s="129"/>
      <c r="M238" s="132"/>
      <c r="N238" s="135"/>
    </row>
    <row r="239" spans="1:14" ht="14.65" thickBot="1" x14ac:dyDescent="0.5">
      <c r="A239" s="99"/>
      <c r="B239" s="127"/>
      <c r="C239" s="31" t="str">
        <f>"PXI-2510-1/dut" &amp; D239</f>
        <v>PXI-2510-1/dut34</v>
      </c>
      <c r="D239" s="31">
        <f t="shared" si="151"/>
        <v>34</v>
      </c>
      <c r="E239" s="31" t="str">
        <f t="shared" si="152"/>
        <v>FIU</v>
      </c>
      <c r="F239" s="31" t="str">
        <f t="shared" si="153"/>
        <v>TBD</v>
      </c>
      <c r="G239" s="31" t="str">
        <f t="shared" si="150"/>
        <v>None</v>
      </c>
      <c r="H239" s="42" t="s">
        <v>28</v>
      </c>
      <c r="I239" s="61" t="str">
        <f>"IO" &amp; A236</f>
        <v>IO35</v>
      </c>
      <c r="J239" s="105"/>
      <c r="K239" s="146"/>
      <c r="L239" s="130"/>
      <c r="M239" s="133"/>
      <c r="N239" s="136"/>
    </row>
    <row r="240" spans="1:14" ht="28.5" x14ac:dyDescent="0.45">
      <c r="A240" s="97">
        <f>A236+1</f>
        <v>36</v>
      </c>
      <c r="B240" s="100" t="str">
        <f>B236</f>
        <v>AO
AO U: 0-16 V
AO I: 0-20 mA
AO R: 10 Ω - 8 MΩ</v>
      </c>
      <c r="C240" s="29" t="str">
        <f>"PXIe-4322-1/AO" &amp; D240</f>
        <v>PXIe-4322-1/AO3</v>
      </c>
      <c r="D240" s="29">
        <f t="shared" si="151"/>
        <v>3</v>
      </c>
      <c r="E240" s="55" t="str">
        <f t="shared" si="152"/>
        <v>Voltage out 0-16 V /
Current out 0-20 mA</v>
      </c>
      <c r="F240" s="29" t="str">
        <f t="shared" si="153"/>
        <v>AO</v>
      </c>
      <c r="G240" s="29" t="str">
        <f t="shared" si="150"/>
        <v>ATE/IO36/AO</v>
      </c>
      <c r="H240" s="39" t="str">
        <f>Paths!$B$22 &amp; D240</f>
        <v>Targets/Controller/Hardware/Chassis/DAQ/PXI1Slot11/Analog Output/AO3</v>
      </c>
      <c r="I240" s="32" t="str">
        <f>"IO" &amp; A240</f>
        <v>IO36</v>
      </c>
      <c r="J240" s="103" t="s">
        <v>6</v>
      </c>
      <c r="K240" s="144" t="s">
        <v>7</v>
      </c>
      <c r="L240" s="128"/>
      <c r="M240" s="131"/>
      <c r="N240" s="134"/>
    </row>
    <row r="241" spans="1:14" x14ac:dyDescent="0.45">
      <c r="A241" s="98"/>
      <c r="B241" s="126"/>
      <c r="C241" s="30" t="str">
        <f>"SLSC-AL3011-1/AO " &amp; D241</f>
        <v>SLSC-AL3011-1/AO 19</v>
      </c>
      <c r="D241" s="30">
        <f t="shared" si="151"/>
        <v>19</v>
      </c>
      <c r="E241" s="56" t="str">
        <f t="shared" si="152"/>
        <v>Resistance 10 Ω - 8 MΩ</v>
      </c>
      <c r="F241" s="30" t="str">
        <f t="shared" si="153"/>
        <v>TBD</v>
      </c>
      <c r="G241" s="30" t="str">
        <f t="shared" si="150"/>
        <v>None</v>
      </c>
      <c r="H241" s="41" t="s">
        <v>28</v>
      </c>
      <c r="I241" s="60" t="str">
        <f>"IO" &amp; A240</f>
        <v>IO36</v>
      </c>
      <c r="J241" s="104"/>
      <c r="K241" s="145"/>
      <c r="L241" s="156"/>
      <c r="M241" s="157"/>
      <c r="N241" s="158"/>
    </row>
    <row r="242" spans="1:14" x14ac:dyDescent="0.45">
      <c r="A242" s="98"/>
      <c r="B242" s="126"/>
      <c r="C242" s="30" t="str">
        <f>"PXI 10-100-001/SPDT" &amp; D242</f>
        <v>PXI 10-100-001/SPDT54</v>
      </c>
      <c r="D242" s="30">
        <f t="shared" si="151"/>
        <v>54</v>
      </c>
      <c r="E242" s="30" t="str">
        <f t="shared" si="152"/>
        <v>DO (SPDT)</v>
      </c>
      <c r="F242" s="30" t="str">
        <f t="shared" si="153"/>
        <v>Select_AOR</v>
      </c>
      <c r="G242" s="30" t="str">
        <f t="shared" si="150"/>
        <v>ATE/IO36/Select_AOR</v>
      </c>
      <c r="H242" s="41" t="str">
        <f>Paths!$B$12 &amp; D242</f>
        <v>Targets/Controller/Custom Devices/PickeringSwitching/Subunit1/Switch1_54</v>
      </c>
      <c r="I242" s="60" t="str">
        <f>"IO" &amp; A240</f>
        <v>IO36</v>
      </c>
      <c r="J242" s="104"/>
      <c r="K242" s="145"/>
      <c r="L242" s="129"/>
      <c r="M242" s="132"/>
      <c r="N242" s="135"/>
    </row>
    <row r="243" spans="1:14" ht="14.65" thickBot="1" x14ac:dyDescent="0.5">
      <c r="A243" s="99"/>
      <c r="B243" s="127"/>
      <c r="C243" s="31" t="str">
        <f>"PXI-2510-1/dut" &amp; D243</f>
        <v>PXI-2510-1/dut35</v>
      </c>
      <c r="D243" s="31">
        <f t="shared" si="151"/>
        <v>35</v>
      </c>
      <c r="E243" s="31" t="str">
        <f t="shared" si="152"/>
        <v>FIU</v>
      </c>
      <c r="F243" s="31" t="str">
        <f t="shared" si="153"/>
        <v>TBD</v>
      </c>
      <c r="G243" s="31" t="str">
        <f t="shared" si="150"/>
        <v>None</v>
      </c>
      <c r="H243" s="42" t="s">
        <v>28</v>
      </c>
      <c r="I243" s="61" t="str">
        <f>"IO" &amp; A240</f>
        <v>IO36</v>
      </c>
      <c r="J243" s="105"/>
      <c r="K243" s="146"/>
      <c r="L243" s="130"/>
      <c r="M243" s="133"/>
      <c r="N243" s="136"/>
    </row>
    <row r="244" spans="1:14" ht="28.5" x14ac:dyDescent="0.45">
      <c r="A244" s="97">
        <f>A240+1</f>
        <v>37</v>
      </c>
      <c r="B244" s="100" t="str">
        <f>B240</f>
        <v>AO
AO U: 0-16 V
AO I: 0-20 mA
AO R: 10 Ω - 8 MΩ</v>
      </c>
      <c r="C244" s="29" t="str">
        <f>"PXIe-4322-1/AO" &amp; D244</f>
        <v>PXIe-4322-1/AO4</v>
      </c>
      <c r="D244" s="29">
        <f t="shared" si="151"/>
        <v>4</v>
      </c>
      <c r="E244" s="55" t="str">
        <f t="shared" si="152"/>
        <v>Voltage out 0-16 V /
Current out 0-20 mA</v>
      </c>
      <c r="F244" s="29" t="str">
        <f t="shared" si="153"/>
        <v>AO</v>
      </c>
      <c r="G244" s="29" t="str">
        <f t="shared" si="150"/>
        <v>ATE/IO37/AO</v>
      </c>
      <c r="H244" s="39" t="str">
        <f>Paths!$B$22 &amp; D244</f>
        <v>Targets/Controller/Hardware/Chassis/DAQ/PXI1Slot11/Analog Output/AO4</v>
      </c>
      <c r="I244" s="32" t="str">
        <f>"IO" &amp; A244</f>
        <v>IO37</v>
      </c>
      <c r="J244" s="103" t="s">
        <v>6</v>
      </c>
      <c r="K244" s="144" t="s">
        <v>7</v>
      </c>
      <c r="L244" s="128"/>
      <c r="M244" s="131"/>
      <c r="N244" s="134"/>
    </row>
    <row r="245" spans="1:14" x14ac:dyDescent="0.45">
      <c r="A245" s="98"/>
      <c r="B245" s="126"/>
      <c r="C245" s="30" t="str">
        <f>"SLSC-AL3011-1/AO " &amp; D245</f>
        <v>SLSC-AL3011-1/AO 20</v>
      </c>
      <c r="D245" s="30">
        <f t="shared" si="151"/>
        <v>20</v>
      </c>
      <c r="E245" s="56" t="str">
        <f t="shared" si="152"/>
        <v>Resistance 10 Ω - 8 MΩ</v>
      </c>
      <c r="F245" s="30" t="str">
        <f t="shared" si="153"/>
        <v>TBD</v>
      </c>
      <c r="G245" s="30" t="str">
        <f t="shared" si="150"/>
        <v>None</v>
      </c>
      <c r="H245" s="41" t="s">
        <v>28</v>
      </c>
      <c r="I245" s="60" t="str">
        <f>"IO" &amp; A244</f>
        <v>IO37</v>
      </c>
      <c r="J245" s="104"/>
      <c r="K245" s="145"/>
      <c r="L245" s="156"/>
      <c r="M245" s="157"/>
      <c r="N245" s="158"/>
    </row>
    <row r="246" spans="1:14" x14ac:dyDescent="0.45">
      <c r="A246" s="98"/>
      <c r="B246" s="126"/>
      <c r="C246" s="30" t="str">
        <f>"PXI 10-100-001/SPDT" &amp; D246</f>
        <v>PXI 10-100-001/SPDT55</v>
      </c>
      <c r="D246" s="30">
        <f t="shared" si="151"/>
        <v>55</v>
      </c>
      <c r="E246" s="30" t="str">
        <f t="shared" si="152"/>
        <v>DO (SPDT)</v>
      </c>
      <c r="F246" s="30" t="str">
        <f t="shared" si="153"/>
        <v>Select_AOR</v>
      </c>
      <c r="G246" s="30" t="str">
        <f t="shared" si="150"/>
        <v>ATE/IO37/Select_AOR</v>
      </c>
      <c r="H246" s="41" t="str">
        <f>Paths!$B$12 &amp; D246</f>
        <v>Targets/Controller/Custom Devices/PickeringSwitching/Subunit1/Switch1_55</v>
      </c>
      <c r="I246" s="60" t="str">
        <f>"IO" &amp; A244</f>
        <v>IO37</v>
      </c>
      <c r="J246" s="104"/>
      <c r="K246" s="145"/>
      <c r="L246" s="129"/>
      <c r="M246" s="132"/>
      <c r="N246" s="135"/>
    </row>
    <row r="247" spans="1:14" ht="14.65" thickBot="1" x14ac:dyDescent="0.5">
      <c r="A247" s="99"/>
      <c r="B247" s="127"/>
      <c r="C247" s="31" t="str">
        <f>"PXI-2510-1/dut" &amp; D247</f>
        <v>PXI-2510-1/dut36</v>
      </c>
      <c r="D247" s="31">
        <f t="shared" si="151"/>
        <v>36</v>
      </c>
      <c r="E247" s="31" t="str">
        <f t="shared" si="152"/>
        <v>FIU</v>
      </c>
      <c r="F247" s="31" t="str">
        <f t="shared" si="153"/>
        <v>TBD</v>
      </c>
      <c r="G247" s="31" t="str">
        <f t="shared" si="150"/>
        <v>None</v>
      </c>
      <c r="H247" s="42" t="s">
        <v>28</v>
      </c>
      <c r="I247" s="61" t="str">
        <f>"IO" &amp; A244</f>
        <v>IO37</v>
      </c>
      <c r="J247" s="105"/>
      <c r="K247" s="146"/>
      <c r="L247" s="130"/>
      <c r="M247" s="133"/>
      <c r="N247" s="136"/>
    </row>
    <row r="248" spans="1:14" ht="28.5" x14ac:dyDescent="0.45">
      <c r="A248" s="97">
        <f>A244+1</f>
        <v>38</v>
      </c>
      <c r="B248" s="100" t="str">
        <f>B244</f>
        <v>AO
AO U: 0-16 V
AO I: 0-20 mA
AO R: 10 Ω - 8 MΩ</v>
      </c>
      <c r="C248" s="29" t="str">
        <f>"PXIe-4322-1/AO" &amp; D248</f>
        <v>PXIe-4322-1/AO5</v>
      </c>
      <c r="D248" s="29">
        <f t="shared" si="151"/>
        <v>5</v>
      </c>
      <c r="E248" s="55" t="str">
        <f t="shared" si="152"/>
        <v>Voltage out 0-16 V /
Current out 0-20 mA</v>
      </c>
      <c r="F248" s="29" t="str">
        <f t="shared" si="153"/>
        <v>AO</v>
      </c>
      <c r="G248" s="29" t="str">
        <f t="shared" si="150"/>
        <v>ATE/IO38/AO</v>
      </c>
      <c r="H248" s="39" t="str">
        <f>Paths!$B$22 &amp; D248</f>
        <v>Targets/Controller/Hardware/Chassis/DAQ/PXI1Slot11/Analog Output/AO5</v>
      </c>
      <c r="I248" s="32" t="str">
        <f>"IO" &amp; A248</f>
        <v>IO38</v>
      </c>
      <c r="J248" s="103" t="s">
        <v>6</v>
      </c>
      <c r="K248" s="144" t="s">
        <v>7</v>
      </c>
      <c r="L248" s="128"/>
      <c r="M248" s="131"/>
      <c r="N248" s="134"/>
    </row>
    <row r="249" spans="1:14" x14ac:dyDescent="0.45">
      <c r="A249" s="98"/>
      <c r="B249" s="126"/>
      <c r="C249" s="30" t="str">
        <f>"SLSC-AL3011-1/AO " &amp; D249</f>
        <v>SLSC-AL3011-1/AO 21</v>
      </c>
      <c r="D249" s="30">
        <f t="shared" si="151"/>
        <v>21</v>
      </c>
      <c r="E249" s="56" t="str">
        <f t="shared" si="152"/>
        <v>Resistance 10 Ω - 8 MΩ</v>
      </c>
      <c r="F249" s="30" t="str">
        <f t="shared" si="153"/>
        <v>TBD</v>
      </c>
      <c r="G249" s="30" t="str">
        <f t="shared" si="150"/>
        <v>None</v>
      </c>
      <c r="H249" s="41" t="s">
        <v>28</v>
      </c>
      <c r="I249" s="60" t="str">
        <f>"IO" &amp; A248</f>
        <v>IO38</v>
      </c>
      <c r="J249" s="104"/>
      <c r="K249" s="145"/>
      <c r="L249" s="156"/>
      <c r="M249" s="157"/>
      <c r="N249" s="158"/>
    </row>
    <row r="250" spans="1:14" x14ac:dyDescent="0.45">
      <c r="A250" s="98"/>
      <c r="B250" s="126"/>
      <c r="C250" s="30" t="str">
        <f>"PXI 10-100-001/SPDT" &amp; D250</f>
        <v>PXI 10-100-001/SPDT56</v>
      </c>
      <c r="D250" s="30">
        <f t="shared" si="151"/>
        <v>56</v>
      </c>
      <c r="E250" s="30" t="str">
        <f t="shared" si="152"/>
        <v>DO (SPDT)</v>
      </c>
      <c r="F250" s="30" t="str">
        <f t="shared" si="153"/>
        <v>Select_AOR</v>
      </c>
      <c r="G250" s="30" t="str">
        <f t="shared" si="150"/>
        <v>ATE/IO38/Select_AOR</v>
      </c>
      <c r="H250" s="41" t="str">
        <f>Paths!$B$12 &amp; D250</f>
        <v>Targets/Controller/Custom Devices/PickeringSwitching/Subunit1/Switch1_56</v>
      </c>
      <c r="I250" s="60" t="str">
        <f>"IO" &amp; A248</f>
        <v>IO38</v>
      </c>
      <c r="J250" s="104"/>
      <c r="K250" s="145"/>
      <c r="L250" s="129"/>
      <c r="M250" s="132"/>
      <c r="N250" s="135"/>
    </row>
    <row r="251" spans="1:14" ht="14.65" thickBot="1" x14ac:dyDescent="0.5">
      <c r="A251" s="99"/>
      <c r="B251" s="127"/>
      <c r="C251" s="31" t="str">
        <f>"PXI-2510-1/dut" &amp; D251</f>
        <v>PXI-2510-1/dut37</v>
      </c>
      <c r="D251" s="31">
        <f t="shared" si="151"/>
        <v>37</v>
      </c>
      <c r="E251" s="31" t="str">
        <f t="shared" si="152"/>
        <v>FIU</v>
      </c>
      <c r="F251" s="31" t="str">
        <f t="shared" si="153"/>
        <v>TBD</v>
      </c>
      <c r="G251" s="31" t="str">
        <f t="shared" si="150"/>
        <v>None</v>
      </c>
      <c r="H251" s="42" t="s">
        <v>28</v>
      </c>
      <c r="I251" s="61" t="str">
        <f>"IO" &amp; A248</f>
        <v>IO38</v>
      </c>
      <c r="J251" s="105"/>
      <c r="K251" s="146"/>
      <c r="L251" s="130"/>
      <c r="M251" s="133"/>
      <c r="N251" s="136"/>
    </row>
    <row r="252" spans="1:14" ht="28.5" x14ac:dyDescent="0.45">
      <c r="A252" s="97">
        <f>A248+1</f>
        <v>39</v>
      </c>
      <c r="B252" s="100" t="str">
        <f>B248</f>
        <v>AO
AO U: 0-16 V
AO I: 0-20 mA
AO R: 10 Ω - 8 MΩ</v>
      </c>
      <c r="C252" s="29" t="str">
        <f>"PXIe-4322-1/AO" &amp; D252</f>
        <v>PXIe-4322-1/AO6</v>
      </c>
      <c r="D252" s="29">
        <f t="shared" si="151"/>
        <v>6</v>
      </c>
      <c r="E252" s="55" t="str">
        <f t="shared" si="152"/>
        <v>Voltage out 0-16 V /
Current out 0-20 mA</v>
      </c>
      <c r="F252" s="29" t="str">
        <f t="shared" si="153"/>
        <v>AO</v>
      </c>
      <c r="G252" s="29" t="str">
        <f t="shared" si="150"/>
        <v>ATE/IO39/AO</v>
      </c>
      <c r="H252" s="39" t="str">
        <f>Paths!$B$22 &amp; D252</f>
        <v>Targets/Controller/Hardware/Chassis/DAQ/PXI1Slot11/Analog Output/AO6</v>
      </c>
      <c r="I252" s="32" t="str">
        <f>"IO" &amp; A252</f>
        <v>IO39</v>
      </c>
      <c r="J252" s="103" t="s">
        <v>6</v>
      </c>
      <c r="K252" s="144" t="s">
        <v>7</v>
      </c>
      <c r="L252" s="128"/>
      <c r="M252" s="131"/>
      <c r="N252" s="134"/>
    </row>
    <row r="253" spans="1:14" x14ac:dyDescent="0.45">
      <c r="A253" s="98"/>
      <c r="B253" s="126"/>
      <c r="C253" s="30" t="str">
        <f>"SLSC-AL3011-1/AO " &amp; D253</f>
        <v>SLSC-AL3011-1/AO 22</v>
      </c>
      <c r="D253" s="30">
        <f t="shared" si="151"/>
        <v>22</v>
      </c>
      <c r="E253" s="56" t="str">
        <f t="shared" si="152"/>
        <v>Resistance 10 Ω - 8 MΩ</v>
      </c>
      <c r="F253" s="30" t="str">
        <f t="shared" si="153"/>
        <v>TBD</v>
      </c>
      <c r="G253" s="30" t="str">
        <f t="shared" si="150"/>
        <v>None</v>
      </c>
      <c r="H253" s="41" t="s">
        <v>28</v>
      </c>
      <c r="I253" s="60" t="str">
        <f>"IO" &amp; A252</f>
        <v>IO39</v>
      </c>
      <c r="J253" s="104"/>
      <c r="K253" s="145"/>
      <c r="L253" s="156"/>
      <c r="M253" s="157"/>
      <c r="N253" s="158"/>
    </row>
    <row r="254" spans="1:14" x14ac:dyDescent="0.45">
      <c r="A254" s="98"/>
      <c r="B254" s="126"/>
      <c r="C254" s="30" t="str">
        <f>"PXI 10-100-001/SPDT" &amp; D254</f>
        <v>PXI 10-100-001/SPDT57</v>
      </c>
      <c r="D254" s="30">
        <f t="shared" si="151"/>
        <v>57</v>
      </c>
      <c r="E254" s="30" t="str">
        <f t="shared" si="152"/>
        <v>DO (SPDT)</v>
      </c>
      <c r="F254" s="30" t="str">
        <f t="shared" si="153"/>
        <v>Select_AOR</v>
      </c>
      <c r="G254" s="30" t="str">
        <f t="shared" si="150"/>
        <v>ATE/IO39/Select_AOR</v>
      </c>
      <c r="H254" s="41" t="str">
        <f>Paths!$B$12 &amp; D254</f>
        <v>Targets/Controller/Custom Devices/PickeringSwitching/Subunit1/Switch1_57</v>
      </c>
      <c r="I254" s="60" t="str">
        <f>"IO" &amp; A252</f>
        <v>IO39</v>
      </c>
      <c r="J254" s="104"/>
      <c r="K254" s="145"/>
      <c r="L254" s="129"/>
      <c r="M254" s="132"/>
      <c r="N254" s="135"/>
    </row>
    <row r="255" spans="1:14" ht="14.65" thickBot="1" x14ac:dyDescent="0.5">
      <c r="A255" s="99"/>
      <c r="B255" s="127"/>
      <c r="C255" s="31" t="str">
        <f>"PXI-2510-1/dut" &amp; D255</f>
        <v>PXI-2510-1/dut38</v>
      </c>
      <c r="D255" s="31">
        <f t="shared" si="151"/>
        <v>38</v>
      </c>
      <c r="E255" s="31" t="str">
        <f t="shared" si="152"/>
        <v>FIU</v>
      </c>
      <c r="F255" s="31" t="str">
        <f t="shared" si="153"/>
        <v>TBD</v>
      </c>
      <c r="G255" s="31" t="str">
        <f t="shared" si="150"/>
        <v>None</v>
      </c>
      <c r="H255" s="42" t="s">
        <v>28</v>
      </c>
      <c r="I255" s="61" t="str">
        <f>"IO" &amp; A252</f>
        <v>IO39</v>
      </c>
      <c r="J255" s="105"/>
      <c r="K255" s="146"/>
      <c r="L255" s="130"/>
      <c r="M255" s="133"/>
      <c r="N255" s="136"/>
    </row>
    <row r="256" spans="1:14" ht="28.5" x14ac:dyDescent="0.45">
      <c r="A256" s="97">
        <f>A252+1</f>
        <v>40</v>
      </c>
      <c r="B256" s="100" t="str">
        <f>B252</f>
        <v>AO
AO U: 0-16 V
AO I: 0-20 mA
AO R: 10 Ω - 8 MΩ</v>
      </c>
      <c r="C256" s="29" t="str">
        <f>"PXIe-4322-1/AO" &amp; D256</f>
        <v>PXIe-4322-1/AO7</v>
      </c>
      <c r="D256" s="29">
        <f t="shared" si="151"/>
        <v>7</v>
      </c>
      <c r="E256" s="55" t="str">
        <f t="shared" si="152"/>
        <v>Voltage out 0-16 V /
Current out 0-20 mA</v>
      </c>
      <c r="F256" s="29" t="str">
        <f t="shared" si="153"/>
        <v>AO</v>
      </c>
      <c r="G256" s="29" t="str">
        <f t="shared" si="150"/>
        <v>ATE/IO40/AO</v>
      </c>
      <c r="H256" s="39" t="str">
        <f>Paths!$B$22 &amp; D256</f>
        <v>Targets/Controller/Hardware/Chassis/DAQ/PXI1Slot11/Analog Output/AO7</v>
      </c>
      <c r="I256" s="32" t="str">
        <f>"IO" &amp; A256</f>
        <v>IO40</v>
      </c>
      <c r="J256" s="103" t="s">
        <v>6</v>
      </c>
      <c r="K256" s="144" t="s">
        <v>7</v>
      </c>
      <c r="L256" s="128"/>
      <c r="M256" s="131"/>
      <c r="N256" s="134"/>
    </row>
    <row r="257" spans="1:14" x14ac:dyDescent="0.45">
      <c r="A257" s="98"/>
      <c r="B257" s="126"/>
      <c r="C257" s="30" t="str">
        <f>"SLSC-AL3011-1/AO " &amp; D257</f>
        <v>SLSC-AL3011-1/AO 23</v>
      </c>
      <c r="D257" s="30">
        <f t="shared" si="151"/>
        <v>23</v>
      </c>
      <c r="E257" s="56" t="str">
        <f t="shared" si="152"/>
        <v>Resistance 10 Ω - 8 MΩ</v>
      </c>
      <c r="F257" s="30" t="str">
        <f t="shared" si="153"/>
        <v>TBD</v>
      </c>
      <c r="G257" s="30" t="str">
        <f t="shared" si="150"/>
        <v>None</v>
      </c>
      <c r="H257" s="41" t="s">
        <v>28</v>
      </c>
      <c r="I257" s="60" t="str">
        <f>"IO" &amp; A256</f>
        <v>IO40</v>
      </c>
      <c r="J257" s="104"/>
      <c r="K257" s="145"/>
      <c r="L257" s="156"/>
      <c r="M257" s="157"/>
      <c r="N257" s="158"/>
    </row>
    <row r="258" spans="1:14" x14ac:dyDescent="0.45">
      <c r="A258" s="98"/>
      <c r="B258" s="126"/>
      <c r="C258" s="30" t="str">
        <f>"PXI 10-100-001/SPDT" &amp; D258</f>
        <v>PXI 10-100-001/SPDT58</v>
      </c>
      <c r="D258" s="30">
        <f t="shared" si="151"/>
        <v>58</v>
      </c>
      <c r="E258" s="30" t="str">
        <f t="shared" si="152"/>
        <v>DO (SPDT)</v>
      </c>
      <c r="F258" s="30" t="str">
        <f t="shared" si="153"/>
        <v>Select_AOR</v>
      </c>
      <c r="G258" s="30" t="str">
        <f t="shared" si="150"/>
        <v>ATE/IO40/Select_AOR</v>
      </c>
      <c r="H258" s="41" t="str">
        <f>Paths!$B$12 &amp; D258</f>
        <v>Targets/Controller/Custom Devices/PickeringSwitching/Subunit1/Switch1_58</v>
      </c>
      <c r="I258" s="60" t="str">
        <f>"IO" &amp; A256</f>
        <v>IO40</v>
      </c>
      <c r="J258" s="104"/>
      <c r="K258" s="145"/>
      <c r="L258" s="129"/>
      <c r="M258" s="132"/>
      <c r="N258" s="135"/>
    </row>
    <row r="259" spans="1:14" ht="14.65" thickBot="1" x14ac:dyDescent="0.5">
      <c r="A259" s="99"/>
      <c r="B259" s="127"/>
      <c r="C259" s="31" t="str">
        <f>"PXI-2510-1/dut" &amp; D259</f>
        <v>PXI-2510-1/dut39</v>
      </c>
      <c r="D259" s="31">
        <f t="shared" si="151"/>
        <v>39</v>
      </c>
      <c r="E259" s="31" t="str">
        <f t="shared" si="152"/>
        <v>FIU</v>
      </c>
      <c r="F259" s="31" t="str">
        <f t="shared" si="153"/>
        <v>TBD</v>
      </c>
      <c r="G259" s="31" t="str">
        <f t="shared" si="150"/>
        <v>None</v>
      </c>
      <c r="H259" s="42" t="s">
        <v>28</v>
      </c>
      <c r="I259" s="61" t="str">
        <f>"IO" &amp; A256</f>
        <v>IO40</v>
      </c>
      <c r="J259" s="105"/>
      <c r="K259" s="146"/>
      <c r="L259" s="130"/>
      <c r="M259" s="133"/>
      <c r="N259" s="136"/>
    </row>
    <row r="260" spans="1:14" ht="28.5" x14ac:dyDescent="0.45">
      <c r="A260" s="97">
        <f>A256+1</f>
        <v>41</v>
      </c>
      <c r="B260" s="100" t="str">
        <f>B256</f>
        <v>AO
AO U: 0-16 V
AO I: 0-20 mA
AO R: 10 Ω - 8 MΩ</v>
      </c>
      <c r="C260" s="29" t="str">
        <f>"PXIe-4322-2/AO" &amp; D260</f>
        <v>PXIe-4322-2/AO0</v>
      </c>
      <c r="D260" s="44">
        <v>0</v>
      </c>
      <c r="E260" s="55" t="str">
        <f t="shared" si="152"/>
        <v>Voltage out 0-16 V /
Current out 0-20 mA</v>
      </c>
      <c r="F260" s="29" t="str">
        <f t="shared" si="153"/>
        <v>AO</v>
      </c>
      <c r="G260" s="29" t="str">
        <f t="shared" ref="G260:G291" si="154">IF(OR(F260="None",F260="TBD"),"None",_xlfn.CONCAT("ATE/",I260,"/",F260))</f>
        <v>ATE/IO41/AO</v>
      </c>
      <c r="H260" s="39" t="str">
        <f>Paths!$B$23 &amp; D260</f>
        <v>Targets/Controller/Hardware/Chassis/DAQ/PXI1Slot12/Analog Output/AO0</v>
      </c>
      <c r="I260" s="32" t="str">
        <f>"IO" &amp; A260</f>
        <v>IO41</v>
      </c>
      <c r="J260" s="103" t="s">
        <v>6</v>
      </c>
      <c r="K260" s="103" t="s">
        <v>7</v>
      </c>
      <c r="L260" s="106"/>
      <c r="M260" s="91"/>
      <c r="N260" s="94"/>
    </row>
    <row r="261" spans="1:14" x14ac:dyDescent="0.45">
      <c r="A261" s="98"/>
      <c r="B261" s="101"/>
      <c r="C261" s="30" t="str">
        <f>"SLSC-AL3011-1/AO " &amp; D261</f>
        <v>SLSC-AL3011-1/AO 24</v>
      </c>
      <c r="D261" s="30">
        <f t="shared" ref="D261:D291" si="155">D257+1</f>
        <v>24</v>
      </c>
      <c r="E261" s="56" t="str">
        <f t="shared" si="152"/>
        <v>Resistance 10 Ω - 8 MΩ</v>
      </c>
      <c r="F261" s="30" t="str">
        <f t="shared" si="153"/>
        <v>TBD</v>
      </c>
      <c r="G261" s="30" t="str">
        <f t="shared" si="154"/>
        <v>None</v>
      </c>
      <c r="H261" s="41" t="s">
        <v>28</v>
      </c>
      <c r="I261" s="60" t="str">
        <f>"IO" &amp; A260</f>
        <v>IO41</v>
      </c>
      <c r="J261" s="104"/>
      <c r="K261" s="104"/>
      <c r="L261" s="107"/>
      <c r="M261" s="92"/>
      <c r="N261" s="95"/>
    </row>
    <row r="262" spans="1:14" x14ac:dyDescent="0.45">
      <c r="A262" s="98"/>
      <c r="B262" s="101"/>
      <c r="C262" s="30" t="str">
        <f>"PXI 10-100-001/SPDT" &amp; D262</f>
        <v>PXI 10-100-001/SPDT59</v>
      </c>
      <c r="D262" s="30">
        <f t="shared" si="155"/>
        <v>59</v>
      </c>
      <c r="E262" s="30" t="str">
        <f t="shared" si="152"/>
        <v>DO (SPDT)</v>
      </c>
      <c r="F262" s="30" t="str">
        <f t="shared" si="153"/>
        <v>Select_AOR</v>
      </c>
      <c r="G262" s="30" t="str">
        <f t="shared" si="154"/>
        <v>ATE/IO41/Select_AOR</v>
      </c>
      <c r="H262" s="41" t="str">
        <f>Paths!$B$12 &amp; D262</f>
        <v>Targets/Controller/Custom Devices/PickeringSwitching/Subunit1/Switch1_59</v>
      </c>
      <c r="I262" s="60" t="str">
        <f>"IO" &amp; A260</f>
        <v>IO41</v>
      </c>
      <c r="J262" s="104"/>
      <c r="K262" s="104"/>
      <c r="L262" s="107"/>
      <c r="M262" s="92"/>
      <c r="N262" s="95"/>
    </row>
    <row r="263" spans="1:14" ht="14.65" thickBot="1" x14ac:dyDescent="0.5">
      <c r="A263" s="99"/>
      <c r="B263" s="102"/>
      <c r="C263" s="31" t="str">
        <f>"PXI-2510-1/dut" &amp; D263</f>
        <v>PXI-2510-1/dut40</v>
      </c>
      <c r="D263" s="31">
        <f t="shared" si="155"/>
        <v>40</v>
      </c>
      <c r="E263" s="31" t="str">
        <f t="shared" si="152"/>
        <v>FIU</v>
      </c>
      <c r="F263" s="31" t="str">
        <f t="shared" si="153"/>
        <v>TBD</v>
      </c>
      <c r="G263" s="31" t="str">
        <f t="shared" si="154"/>
        <v>None</v>
      </c>
      <c r="H263" s="42" t="s">
        <v>28</v>
      </c>
      <c r="I263" s="61" t="str">
        <f>"IO" &amp; A260</f>
        <v>IO41</v>
      </c>
      <c r="J263" s="105"/>
      <c r="K263" s="105"/>
      <c r="L263" s="108"/>
      <c r="M263" s="93"/>
      <c r="N263" s="96"/>
    </row>
    <row r="264" spans="1:14" ht="28.5" x14ac:dyDescent="0.45">
      <c r="A264" s="97">
        <f>A260+1</f>
        <v>42</v>
      </c>
      <c r="B264" s="100" t="str">
        <f>B260</f>
        <v>AO
AO U: 0-16 V
AO I: 0-20 mA
AO R: 10 Ω - 8 MΩ</v>
      </c>
      <c r="C264" s="29" t="str">
        <f>"PXIe-4322-2/AO" &amp; D264</f>
        <v>PXIe-4322-2/AO1</v>
      </c>
      <c r="D264" s="29">
        <f t="shared" si="155"/>
        <v>1</v>
      </c>
      <c r="E264" s="55" t="str">
        <f t="shared" ref="E264:E295" si="156">E260</f>
        <v>Voltage out 0-16 V /
Current out 0-20 mA</v>
      </c>
      <c r="F264" s="29" t="str">
        <f t="shared" ref="F264:F295" si="157">F260</f>
        <v>AO</v>
      </c>
      <c r="G264" s="29" t="str">
        <f t="shared" si="154"/>
        <v>ATE/IO42/AO</v>
      </c>
      <c r="H264" s="39" t="str">
        <f>Paths!$B$23 &amp; D264</f>
        <v>Targets/Controller/Hardware/Chassis/DAQ/PXI1Slot12/Analog Output/AO1</v>
      </c>
      <c r="I264" s="32" t="str">
        <f>"IO" &amp; A264</f>
        <v>IO42</v>
      </c>
      <c r="J264" s="103" t="s">
        <v>6</v>
      </c>
      <c r="K264" s="103" t="s">
        <v>7</v>
      </c>
      <c r="L264" s="106"/>
      <c r="M264" s="91"/>
      <c r="N264" s="94"/>
    </row>
    <row r="265" spans="1:14" x14ac:dyDescent="0.45">
      <c r="A265" s="98"/>
      <c r="B265" s="101"/>
      <c r="C265" s="30" t="str">
        <f>"SLSC-AL3011-1/AO " &amp; D265</f>
        <v>SLSC-AL3011-1/AO 25</v>
      </c>
      <c r="D265" s="30">
        <f t="shared" si="155"/>
        <v>25</v>
      </c>
      <c r="E265" s="56" t="str">
        <f t="shared" si="156"/>
        <v>Resistance 10 Ω - 8 MΩ</v>
      </c>
      <c r="F265" s="30" t="str">
        <f t="shared" si="157"/>
        <v>TBD</v>
      </c>
      <c r="G265" s="30" t="str">
        <f t="shared" si="154"/>
        <v>None</v>
      </c>
      <c r="H265" s="41" t="s">
        <v>28</v>
      </c>
      <c r="I265" s="60" t="str">
        <f>"IO" &amp; A264</f>
        <v>IO42</v>
      </c>
      <c r="J265" s="104"/>
      <c r="K265" s="104"/>
      <c r="L265" s="107"/>
      <c r="M265" s="92"/>
      <c r="N265" s="95"/>
    </row>
    <row r="266" spans="1:14" x14ac:dyDescent="0.45">
      <c r="A266" s="98"/>
      <c r="B266" s="101"/>
      <c r="C266" s="30" t="str">
        <f>"PXI 10-100-001/SPDT" &amp; D266</f>
        <v>PXI 10-100-001/SPDT60</v>
      </c>
      <c r="D266" s="30">
        <f t="shared" si="155"/>
        <v>60</v>
      </c>
      <c r="E266" s="30" t="str">
        <f t="shared" si="156"/>
        <v>DO (SPDT)</v>
      </c>
      <c r="F266" s="30" t="str">
        <f t="shared" si="157"/>
        <v>Select_AOR</v>
      </c>
      <c r="G266" s="30" t="str">
        <f t="shared" si="154"/>
        <v>ATE/IO42/Select_AOR</v>
      </c>
      <c r="H266" s="41" t="str">
        <f>Paths!$B$12 &amp; D266</f>
        <v>Targets/Controller/Custom Devices/PickeringSwitching/Subunit1/Switch1_60</v>
      </c>
      <c r="I266" s="60" t="str">
        <f>"IO" &amp; A264</f>
        <v>IO42</v>
      </c>
      <c r="J266" s="104"/>
      <c r="K266" s="104"/>
      <c r="L266" s="107"/>
      <c r="M266" s="92"/>
      <c r="N266" s="95"/>
    </row>
    <row r="267" spans="1:14" ht="14.65" thickBot="1" x14ac:dyDescent="0.5">
      <c r="A267" s="99"/>
      <c r="B267" s="102"/>
      <c r="C267" s="31" t="str">
        <f>"PXI-2510-1/dut" &amp; D267</f>
        <v>PXI-2510-1/dut41</v>
      </c>
      <c r="D267" s="31">
        <f t="shared" si="155"/>
        <v>41</v>
      </c>
      <c r="E267" s="31" t="str">
        <f t="shared" si="156"/>
        <v>FIU</v>
      </c>
      <c r="F267" s="31" t="str">
        <f t="shared" si="157"/>
        <v>TBD</v>
      </c>
      <c r="G267" s="31" t="str">
        <f t="shared" si="154"/>
        <v>None</v>
      </c>
      <c r="H267" s="42" t="s">
        <v>28</v>
      </c>
      <c r="I267" s="61" t="str">
        <f>"IO" &amp; A264</f>
        <v>IO42</v>
      </c>
      <c r="J267" s="105"/>
      <c r="K267" s="105"/>
      <c r="L267" s="108"/>
      <c r="M267" s="93"/>
      <c r="N267" s="96"/>
    </row>
    <row r="268" spans="1:14" ht="28.5" x14ac:dyDescent="0.45">
      <c r="A268" s="97">
        <f>A264+1</f>
        <v>43</v>
      </c>
      <c r="B268" s="100" t="str">
        <f>B264</f>
        <v>AO
AO U: 0-16 V
AO I: 0-20 mA
AO R: 10 Ω - 8 MΩ</v>
      </c>
      <c r="C268" s="29" t="str">
        <f>"PXIe-4322-2/AO" &amp; D268</f>
        <v>PXIe-4322-2/AO2</v>
      </c>
      <c r="D268" s="29">
        <f t="shared" si="155"/>
        <v>2</v>
      </c>
      <c r="E268" s="55" t="str">
        <f t="shared" si="156"/>
        <v>Voltage out 0-16 V /
Current out 0-20 mA</v>
      </c>
      <c r="F268" s="29" t="str">
        <f t="shared" si="157"/>
        <v>AO</v>
      </c>
      <c r="G268" s="29" t="str">
        <f t="shared" si="154"/>
        <v>ATE/IO43/AO</v>
      </c>
      <c r="H268" s="39" t="str">
        <f>Paths!$B$23 &amp; D268</f>
        <v>Targets/Controller/Hardware/Chassis/DAQ/PXI1Slot12/Analog Output/AO2</v>
      </c>
      <c r="I268" s="32" t="str">
        <f>"IO" &amp; A268</f>
        <v>IO43</v>
      </c>
      <c r="J268" s="103" t="s">
        <v>6</v>
      </c>
      <c r="K268" s="103" t="s">
        <v>7</v>
      </c>
      <c r="L268" s="106"/>
      <c r="M268" s="91"/>
      <c r="N268" s="94"/>
    </row>
    <row r="269" spans="1:14" x14ac:dyDescent="0.45">
      <c r="A269" s="98"/>
      <c r="B269" s="101"/>
      <c r="C269" s="30" t="str">
        <f>"SLSC-AL3011-1/AO " &amp; D269</f>
        <v>SLSC-AL3011-1/AO 26</v>
      </c>
      <c r="D269" s="30">
        <f t="shared" si="155"/>
        <v>26</v>
      </c>
      <c r="E269" s="56" t="str">
        <f t="shared" si="156"/>
        <v>Resistance 10 Ω - 8 MΩ</v>
      </c>
      <c r="F269" s="30" t="str">
        <f t="shared" si="157"/>
        <v>TBD</v>
      </c>
      <c r="G269" s="30" t="str">
        <f t="shared" si="154"/>
        <v>None</v>
      </c>
      <c r="H269" s="41" t="s">
        <v>28</v>
      </c>
      <c r="I269" s="60" t="str">
        <f>"IO" &amp; A268</f>
        <v>IO43</v>
      </c>
      <c r="J269" s="104"/>
      <c r="K269" s="104"/>
      <c r="L269" s="107"/>
      <c r="M269" s="92"/>
      <c r="N269" s="95"/>
    </row>
    <row r="270" spans="1:14" x14ac:dyDescent="0.45">
      <c r="A270" s="98"/>
      <c r="B270" s="101"/>
      <c r="C270" s="30" t="str">
        <f>"PXI 10-100-001/SPDT" &amp; D270</f>
        <v>PXI 10-100-001/SPDT61</v>
      </c>
      <c r="D270" s="30">
        <f t="shared" si="155"/>
        <v>61</v>
      </c>
      <c r="E270" s="30" t="str">
        <f t="shared" si="156"/>
        <v>DO (SPDT)</v>
      </c>
      <c r="F270" s="30" t="str">
        <f t="shared" si="157"/>
        <v>Select_AOR</v>
      </c>
      <c r="G270" s="30" t="str">
        <f t="shared" si="154"/>
        <v>ATE/IO43/Select_AOR</v>
      </c>
      <c r="H270" s="41" t="str">
        <f>Paths!$B$12 &amp; D270</f>
        <v>Targets/Controller/Custom Devices/PickeringSwitching/Subunit1/Switch1_61</v>
      </c>
      <c r="I270" s="60" t="str">
        <f>"IO" &amp; A268</f>
        <v>IO43</v>
      </c>
      <c r="J270" s="104"/>
      <c r="K270" s="104"/>
      <c r="L270" s="107"/>
      <c r="M270" s="92"/>
      <c r="N270" s="95"/>
    </row>
    <row r="271" spans="1:14" ht="14.65" thickBot="1" x14ac:dyDescent="0.5">
      <c r="A271" s="99"/>
      <c r="B271" s="102"/>
      <c r="C271" s="31" t="str">
        <f>"PXI-2510-1/dut" &amp; D271</f>
        <v>PXI-2510-1/dut42</v>
      </c>
      <c r="D271" s="31">
        <f t="shared" si="155"/>
        <v>42</v>
      </c>
      <c r="E271" s="31" t="str">
        <f t="shared" si="156"/>
        <v>FIU</v>
      </c>
      <c r="F271" s="31" t="str">
        <f t="shared" si="157"/>
        <v>TBD</v>
      </c>
      <c r="G271" s="31" t="str">
        <f t="shared" si="154"/>
        <v>None</v>
      </c>
      <c r="H271" s="42" t="s">
        <v>28</v>
      </c>
      <c r="I271" s="61" t="str">
        <f>"IO" &amp; A268</f>
        <v>IO43</v>
      </c>
      <c r="J271" s="105"/>
      <c r="K271" s="105"/>
      <c r="L271" s="108"/>
      <c r="M271" s="93"/>
      <c r="N271" s="96"/>
    </row>
    <row r="272" spans="1:14" ht="28.5" x14ac:dyDescent="0.45">
      <c r="A272" s="97">
        <f>A268+1</f>
        <v>44</v>
      </c>
      <c r="B272" s="100" t="str">
        <f>B268</f>
        <v>AO
AO U: 0-16 V
AO I: 0-20 mA
AO R: 10 Ω - 8 MΩ</v>
      </c>
      <c r="C272" s="29" t="str">
        <f>"PXIe-4322-2/AO" &amp; D272</f>
        <v>PXIe-4322-2/AO3</v>
      </c>
      <c r="D272" s="29">
        <f t="shared" si="155"/>
        <v>3</v>
      </c>
      <c r="E272" s="55" t="str">
        <f t="shared" si="156"/>
        <v>Voltage out 0-16 V /
Current out 0-20 mA</v>
      </c>
      <c r="F272" s="29" t="str">
        <f t="shared" si="157"/>
        <v>AO</v>
      </c>
      <c r="G272" s="29" t="str">
        <f t="shared" si="154"/>
        <v>ATE/IO44/AO</v>
      </c>
      <c r="H272" s="39" t="str">
        <f>Paths!$B$23 &amp; D272</f>
        <v>Targets/Controller/Hardware/Chassis/DAQ/PXI1Slot12/Analog Output/AO3</v>
      </c>
      <c r="I272" s="32" t="str">
        <f>"IO" &amp; A272</f>
        <v>IO44</v>
      </c>
      <c r="J272" s="103" t="s">
        <v>6</v>
      </c>
      <c r="K272" s="103" t="s">
        <v>7</v>
      </c>
      <c r="L272" s="106"/>
      <c r="M272" s="91"/>
      <c r="N272" s="94"/>
    </row>
    <row r="273" spans="1:14" x14ac:dyDescent="0.45">
      <c r="A273" s="98"/>
      <c r="B273" s="101"/>
      <c r="C273" s="30" t="str">
        <f>"SLSC-AL3011-1/AO " &amp; D273</f>
        <v>SLSC-AL3011-1/AO 27</v>
      </c>
      <c r="D273" s="30">
        <f t="shared" si="155"/>
        <v>27</v>
      </c>
      <c r="E273" s="56" t="str">
        <f t="shared" si="156"/>
        <v>Resistance 10 Ω - 8 MΩ</v>
      </c>
      <c r="F273" s="30" t="str">
        <f t="shared" si="157"/>
        <v>TBD</v>
      </c>
      <c r="G273" s="30" t="str">
        <f t="shared" si="154"/>
        <v>None</v>
      </c>
      <c r="H273" s="41" t="s">
        <v>28</v>
      </c>
      <c r="I273" s="60" t="str">
        <f>"IO" &amp; A272</f>
        <v>IO44</v>
      </c>
      <c r="J273" s="104"/>
      <c r="K273" s="104"/>
      <c r="L273" s="107"/>
      <c r="M273" s="92"/>
      <c r="N273" s="95"/>
    </row>
    <row r="274" spans="1:14" x14ac:dyDescent="0.45">
      <c r="A274" s="98"/>
      <c r="B274" s="101"/>
      <c r="C274" s="30" t="str">
        <f>"PXI 10-100-001/SPDT" &amp; D274</f>
        <v>PXI 10-100-001/SPDT62</v>
      </c>
      <c r="D274" s="30">
        <f t="shared" si="155"/>
        <v>62</v>
      </c>
      <c r="E274" s="30" t="str">
        <f t="shared" si="156"/>
        <v>DO (SPDT)</v>
      </c>
      <c r="F274" s="30" t="str">
        <f t="shared" si="157"/>
        <v>Select_AOR</v>
      </c>
      <c r="G274" s="30" t="str">
        <f t="shared" si="154"/>
        <v>ATE/IO44/Select_AOR</v>
      </c>
      <c r="H274" s="41" t="str">
        <f>Paths!$B$12 &amp; D274</f>
        <v>Targets/Controller/Custom Devices/PickeringSwitching/Subunit1/Switch1_62</v>
      </c>
      <c r="I274" s="60" t="str">
        <f>"IO" &amp; A272</f>
        <v>IO44</v>
      </c>
      <c r="J274" s="104"/>
      <c r="K274" s="104"/>
      <c r="L274" s="107"/>
      <c r="M274" s="92"/>
      <c r="N274" s="95"/>
    </row>
    <row r="275" spans="1:14" ht="14.65" thickBot="1" x14ac:dyDescent="0.5">
      <c r="A275" s="99"/>
      <c r="B275" s="102"/>
      <c r="C275" s="31" t="str">
        <f>"PXI-2510-1/dut" &amp; D275</f>
        <v>PXI-2510-1/dut43</v>
      </c>
      <c r="D275" s="31">
        <f t="shared" si="155"/>
        <v>43</v>
      </c>
      <c r="E275" s="31" t="str">
        <f t="shared" si="156"/>
        <v>FIU</v>
      </c>
      <c r="F275" s="31" t="str">
        <f t="shared" si="157"/>
        <v>TBD</v>
      </c>
      <c r="G275" s="31" t="str">
        <f t="shared" si="154"/>
        <v>None</v>
      </c>
      <c r="H275" s="42" t="s">
        <v>28</v>
      </c>
      <c r="I275" s="61" t="str">
        <f>"IO" &amp; A272</f>
        <v>IO44</v>
      </c>
      <c r="J275" s="105"/>
      <c r="K275" s="105"/>
      <c r="L275" s="108"/>
      <c r="M275" s="93"/>
      <c r="N275" s="96"/>
    </row>
    <row r="276" spans="1:14" ht="28.5" x14ac:dyDescent="0.45">
      <c r="A276" s="97">
        <f>A272+1</f>
        <v>45</v>
      </c>
      <c r="B276" s="100" t="str">
        <f>B272</f>
        <v>AO
AO U: 0-16 V
AO I: 0-20 mA
AO R: 10 Ω - 8 MΩ</v>
      </c>
      <c r="C276" s="29" t="str">
        <f>"PXIe-4322-2/AO" &amp; D276</f>
        <v>PXIe-4322-2/AO4</v>
      </c>
      <c r="D276" s="29">
        <f t="shared" si="155"/>
        <v>4</v>
      </c>
      <c r="E276" s="55" t="str">
        <f t="shared" si="156"/>
        <v>Voltage out 0-16 V /
Current out 0-20 mA</v>
      </c>
      <c r="F276" s="29" t="str">
        <f t="shared" si="157"/>
        <v>AO</v>
      </c>
      <c r="G276" s="29" t="str">
        <f t="shared" si="154"/>
        <v>ATE/IO45/AO</v>
      </c>
      <c r="H276" s="39" t="str">
        <f>Paths!$B$23 &amp; D276</f>
        <v>Targets/Controller/Hardware/Chassis/DAQ/PXI1Slot12/Analog Output/AO4</v>
      </c>
      <c r="I276" s="32" t="str">
        <f>"IO" &amp; A276</f>
        <v>IO45</v>
      </c>
      <c r="J276" s="103" t="s">
        <v>6</v>
      </c>
      <c r="K276" s="103" t="s">
        <v>7</v>
      </c>
      <c r="L276" s="106"/>
      <c r="M276" s="91"/>
      <c r="N276" s="94"/>
    </row>
    <row r="277" spans="1:14" x14ac:dyDescent="0.45">
      <c r="A277" s="98"/>
      <c r="B277" s="101"/>
      <c r="C277" s="30" t="str">
        <f>"SLSC-AL3011-1/AO " &amp; D277</f>
        <v>SLSC-AL3011-1/AO 28</v>
      </c>
      <c r="D277" s="30">
        <f t="shared" si="155"/>
        <v>28</v>
      </c>
      <c r="E277" s="56" t="str">
        <f t="shared" si="156"/>
        <v>Resistance 10 Ω - 8 MΩ</v>
      </c>
      <c r="F277" s="30" t="str">
        <f t="shared" si="157"/>
        <v>TBD</v>
      </c>
      <c r="G277" s="30" t="str">
        <f t="shared" si="154"/>
        <v>None</v>
      </c>
      <c r="H277" s="41" t="s">
        <v>28</v>
      </c>
      <c r="I277" s="60" t="str">
        <f>"IO" &amp; A276</f>
        <v>IO45</v>
      </c>
      <c r="J277" s="104"/>
      <c r="K277" s="104"/>
      <c r="L277" s="107"/>
      <c r="M277" s="92"/>
      <c r="N277" s="95"/>
    </row>
    <row r="278" spans="1:14" x14ac:dyDescent="0.45">
      <c r="A278" s="98"/>
      <c r="B278" s="101"/>
      <c r="C278" s="30" t="str">
        <f>"PXI 10-100-001/SPDT" &amp; D278</f>
        <v>PXI 10-100-001/SPDT63</v>
      </c>
      <c r="D278" s="30">
        <f t="shared" si="155"/>
        <v>63</v>
      </c>
      <c r="E278" s="30" t="str">
        <f t="shared" si="156"/>
        <v>DO (SPDT)</v>
      </c>
      <c r="F278" s="30" t="str">
        <f t="shared" si="157"/>
        <v>Select_AOR</v>
      </c>
      <c r="G278" s="30" t="str">
        <f t="shared" si="154"/>
        <v>ATE/IO45/Select_AOR</v>
      </c>
      <c r="H278" s="41" t="str">
        <f>Paths!$B$12 &amp; D278</f>
        <v>Targets/Controller/Custom Devices/PickeringSwitching/Subunit1/Switch1_63</v>
      </c>
      <c r="I278" s="60" t="str">
        <f>"IO" &amp; A276</f>
        <v>IO45</v>
      </c>
      <c r="J278" s="104"/>
      <c r="K278" s="104"/>
      <c r="L278" s="107"/>
      <c r="M278" s="92"/>
      <c r="N278" s="95"/>
    </row>
    <row r="279" spans="1:14" ht="14.65" thickBot="1" x14ac:dyDescent="0.5">
      <c r="A279" s="99"/>
      <c r="B279" s="102"/>
      <c r="C279" s="31" t="str">
        <f>"PXI-2510-1/dut" &amp; D279</f>
        <v>PXI-2510-1/dut44</v>
      </c>
      <c r="D279" s="31">
        <f t="shared" si="155"/>
        <v>44</v>
      </c>
      <c r="E279" s="31" t="str">
        <f t="shared" si="156"/>
        <v>FIU</v>
      </c>
      <c r="F279" s="31" t="str">
        <f t="shared" si="157"/>
        <v>TBD</v>
      </c>
      <c r="G279" s="31" t="str">
        <f t="shared" si="154"/>
        <v>None</v>
      </c>
      <c r="H279" s="42" t="s">
        <v>28</v>
      </c>
      <c r="I279" s="61" t="str">
        <f>"IO" &amp; A276</f>
        <v>IO45</v>
      </c>
      <c r="J279" s="105"/>
      <c r="K279" s="105"/>
      <c r="L279" s="108"/>
      <c r="M279" s="93"/>
      <c r="N279" s="96"/>
    </row>
    <row r="280" spans="1:14" ht="28.5" x14ac:dyDescent="0.45">
      <c r="A280" s="97">
        <f>A276+1</f>
        <v>46</v>
      </c>
      <c r="B280" s="100" t="str">
        <f>B276</f>
        <v>AO
AO U: 0-16 V
AO I: 0-20 mA
AO R: 10 Ω - 8 MΩ</v>
      </c>
      <c r="C280" s="29" t="str">
        <f>"PXIe-4322-2/AO" &amp; D280</f>
        <v>PXIe-4322-2/AO5</v>
      </c>
      <c r="D280" s="29">
        <f t="shared" si="155"/>
        <v>5</v>
      </c>
      <c r="E280" s="55" t="str">
        <f t="shared" si="156"/>
        <v>Voltage out 0-16 V /
Current out 0-20 mA</v>
      </c>
      <c r="F280" s="29" t="str">
        <f t="shared" si="157"/>
        <v>AO</v>
      </c>
      <c r="G280" s="29" t="str">
        <f t="shared" si="154"/>
        <v>ATE/IO46/AO</v>
      </c>
      <c r="H280" s="39" t="str">
        <f>Paths!$B$23 &amp; D280</f>
        <v>Targets/Controller/Hardware/Chassis/DAQ/PXI1Slot12/Analog Output/AO5</v>
      </c>
      <c r="I280" s="32" t="str">
        <f>"IO" &amp; A280</f>
        <v>IO46</v>
      </c>
      <c r="J280" s="103" t="s">
        <v>6</v>
      </c>
      <c r="K280" s="103" t="s">
        <v>7</v>
      </c>
      <c r="L280" s="106"/>
      <c r="M280" s="91"/>
      <c r="N280" s="94"/>
    </row>
    <row r="281" spans="1:14" x14ac:dyDescent="0.45">
      <c r="A281" s="98"/>
      <c r="B281" s="101"/>
      <c r="C281" s="30" t="str">
        <f>"SLSC-AL3011-1/AO " &amp; D281</f>
        <v>SLSC-AL3011-1/AO 29</v>
      </c>
      <c r="D281" s="30">
        <f t="shared" si="155"/>
        <v>29</v>
      </c>
      <c r="E281" s="56" t="str">
        <f t="shared" si="156"/>
        <v>Resistance 10 Ω - 8 MΩ</v>
      </c>
      <c r="F281" s="30" t="str">
        <f t="shared" si="157"/>
        <v>TBD</v>
      </c>
      <c r="G281" s="30" t="str">
        <f t="shared" si="154"/>
        <v>None</v>
      </c>
      <c r="H281" s="41" t="s">
        <v>28</v>
      </c>
      <c r="I281" s="60" t="str">
        <f>"IO" &amp; A280</f>
        <v>IO46</v>
      </c>
      <c r="J281" s="104"/>
      <c r="K281" s="104"/>
      <c r="L281" s="107"/>
      <c r="M281" s="92"/>
      <c r="N281" s="95"/>
    </row>
    <row r="282" spans="1:14" x14ac:dyDescent="0.45">
      <c r="A282" s="98"/>
      <c r="B282" s="101"/>
      <c r="C282" s="30" t="str">
        <f>"PXI 10-100-001/SPDT" &amp; D282</f>
        <v>PXI 10-100-001/SPDT64</v>
      </c>
      <c r="D282" s="30">
        <f t="shared" si="155"/>
        <v>64</v>
      </c>
      <c r="E282" s="30" t="str">
        <f t="shared" si="156"/>
        <v>DO (SPDT)</v>
      </c>
      <c r="F282" s="30" t="str">
        <f t="shared" si="157"/>
        <v>Select_AOR</v>
      </c>
      <c r="G282" s="30" t="str">
        <f t="shared" si="154"/>
        <v>ATE/IO46/Select_AOR</v>
      </c>
      <c r="H282" s="41" t="str">
        <f>Paths!$B$12 &amp; D282</f>
        <v>Targets/Controller/Custom Devices/PickeringSwitching/Subunit1/Switch1_64</v>
      </c>
      <c r="I282" s="60" t="str">
        <f>"IO" &amp; A280</f>
        <v>IO46</v>
      </c>
      <c r="J282" s="104"/>
      <c r="K282" s="104"/>
      <c r="L282" s="107"/>
      <c r="M282" s="92"/>
      <c r="N282" s="95"/>
    </row>
    <row r="283" spans="1:14" ht="14.65" thickBot="1" x14ac:dyDescent="0.5">
      <c r="A283" s="99"/>
      <c r="B283" s="102"/>
      <c r="C283" s="31" t="str">
        <f>"PXI-2510-1/dut" &amp; D283</f>
        <v>PXI-2510-1/dut45</v>
      </c>
      <c r="D283" s="31">
        <f t="shared" si="155"/>
        <v>45</v>
      </c>
      <c r="E283" s="31" t="str">
        <f t="shared" si="156"/>
        <v>FIU</v>
      </c>
      <c r="F283" s="31" t="str">
        <f t="shared" si="157"/>
        <v>TBD</v>
      </c>
      <c r="G283" s="31" t="str">
        <f t="shared" si="154"/>
        <v>None</v>
      </c>
      <c r="H283" s="42" t="s">
        <v>28</v>
      </c>
      <c r="I283" s="61" t="str">
        <f>"IO" &amp; A280</f>
        <v>IO46</v>
      </c>
      <c r="J283" s="105"/>
      <c r="K283" s="105"/>
      <c r="L283" s="108"/>
      <c r="M283" s="93"/>
      <c r="N283" s="96"/>
    </row>
    <row r="284" spans="1:14" ht="28.5" x14ac:dyDescent="0.45">
      <c r="A284" s="97">
        <f>A280+1</f>
        <v>47</v>
      </c>
      <c r="B284" s="100" t="str">
        <f>B280</f>
        <v>AO
AO U: 0-16 V
AO I: 0-20 mA
AO R: 10 Ω - 8 MΩ</v>
      </c>
      <c r="C284" s="29" t="str">
        <f>"PXIe-4322-2/AO" &amp; D284</f>
        <v>PXIe-4322-2/AO6</v>
      </c>
      <c r="D284" s="29">
        <f t="shared" si="155"/>
        <v>6</v>
      </c>
      <c r="E284" s="55" t="str">
        <f t="shared" si="156"/>
        <v>Voltage out 0-16 V /
Current out 0-20 mA</v>
      </c>
      <c r="F284" s="29" t="str">
        <f t="shared" si="157"/>
        <v>AO</v>
      </c>
      <c r="G284" s="29" t="str">
        <f t="shared" si="154"/>
        <v>ATE/IO47/AO</v>
      </c>
      <c r="H284" s="39" t="str">
        <f>Paths!$B$23 &amp; D284</f>
        <v>Targets/Controller/Hardware/Chassis/DAQ/PXI1Slot12/Analog Output/AO6</v>
      </c>
      <c r="I284" s="32" t="str">
        <f>"IO" &amp; A284</f>
        <v>IO47</v>
      </c>
      <c r="J284" s="103" t="s">
        <v>6</v>
      </c>
      <c r="K284" s="103" t="s">
        <v>7</v>
      </c>
      <c r="L284" s="106"/>
      <c r="M284" s="91"/>
      <c r="N284" s="94"/>
    </row>
    <row r="285" spans="1:14" x14ac:dyDescent="0.45">
      <c r="A285" s="98"/>
      <c r="B285" s="101"/>
      <c r="C285" s="30" t="str">
        <f>"SLSC-AL3011-1/AO " &amp; D285</f>
        <v>SLSC-AL3011-1/AO 30</v>
      </c>
      <c r="D285" s="30">
        <f t="shared" si="155"/>
        <v>30</v>
      </c>
      <c r="E285" s="56" t="str">
        <f t="shared" si="156"/>
        <v>Resistance 10 Ω - 8 MΩ</v>
      </c>
      <c r="F285" s="30" t="str">
        <f t="shared" si="157"/>
        <v>TBD</v>
      </c>
      <c r="G285" s="30" t="str">
        <f t="shared" si="154"/>
        <v>None</v>
      </c>
      <c r="H285" s="41" t="s">
        <v>28</v>
      </c>
      <c r="I285" s="60" t="str">
        <f>"IO" &amp; A284</f>
        <v>IO47</v>
      </c>
      <c r="J285" s="104"/>
      <c r="K285" s="104"/>
      <c r="L285" s="107"/>
      <c r="M285" s="92"/>
      <c r="N285" s="95"/>
    </row>
    <row r="286" spans="1:14" x14ac:dyDescent="0.45">
      <c r="A286" s="98"/>
      <c r="B286" s="101"/>
      <c r="C286" s="30" t="str">
        <f>"PXI 10-100-001/SPDT" &amp; D286</f>
        <v>PXI 10-100-001/SPDT65</v>
      </c>
      <c r="D286" s="30">
        <f t="shared" si="155"/>
        <v>65</v>
      </c>
      <c r="E286" s="30" t="str">
        <f t="shared" si="156"/>
        <v>DO (SPDT)</v>
      </c>
      <c r="F286" s="30" t="str">
        <f t="shared" si="157"/>
        <v>Select_AOR</v>
      </c>
      <c r="G286" s="30" t="str">
        <f t="shared" si="154"/>
        <v>ATE/IO47/Select_AOR</v>
      </c>
      <c r="H286" s="41" t="str">
        <f>Paths!$B$12 &amp; D286</f>
        <v>Targets/Controller/Custom Devices/PickeringSwitching/Subunit1/Switch1_65</v>
      </c>
      <c r="I286" s="60" t="str">
        <f>"IO" &amp; A284</f>
        <v>IO47</v>
      </c>
      <c r="J286" s="104"/>
      <c r="K286" s="104"/>
      <c r="L286" s="107"/>
      <c r="M286" s="92"/>
      <c r="N286" s="95"/>
    </row>
    <row r="287" spans="1:14" ht="14.65" thickBot="1" x14ac:dyDescent="0.5">
      <c r="A287" s="99"/>
      <c r="B287" s="102"/>
      <c r="C287" s="31" t="str">
        <f>"PXI-2510-1/dut" &amp; D287</f>
        <v>PXI-2510-1/dut46</v>
      </c>
      <c r="D287" s="31">
        <f t="shared" si="155"/>
        <v>46</v>
      </c>
      <c r="E287" s="31" t="str">
        <f t="shared" si="156"/>
        <v>FIU</v>
      </c>
      <c r="F287" s="31" t="str">
        <f t="shared" si="157"/>
        <v>TBD</v>
      </c>
      <c r="G287" s="31" t="str">
        <f t="shared" si="154"/>
        <v>None</v>
      </c>
      <c r="H287" s="42" t="s">
        <v>28</v>
      </c>
      <c r="I287" s="61" t="str">
        <f>"IO" &amp; A284</f>
        <v>IO47</v>
      </c>
      <c r="J287" s="105"/>
      <c r="K287" s="105"/>
      <c r="L287" s="108"/>
      <c r="M287" s="93"/>
      <c r="N287" s="96"/>
    </row>
    <row r="288" spans="1:14" ht="28.5" x14ac:dyDescent="0.45">
      <c r="A288" s="97">
        <f>A284+1</f>
        <v>48</v>
      </c>
      <c r="B288" s="100" t="str">
        <f>B284</f>
        <v>AO
AO U: 0-16 V
AO I: 0-20 mA
AO R: 10 Ω - 8 MΩ</v>
      </c>
      <c r="C288" s="29" t="str">
        <f>"PXIe-4322-2/AO" &amp; D288</f>
        <v>PXIe-4322-2/AO7</v>
      </c>
      <c r="D288" s="29">
        <f t="shared" si="155"/>
        <v>7</v>
      </c>
      <c r="E288" s="55" t="str">
        <f t="shared" si="156"/>
        <v>Voltage out 0-16 V /
Current out 0-20 mA</v>
      </c>
      <c r="F288" s="29" t="str">
        <f t="shared" si="157"/>
        <v>AO</v>
      </c>
      <c r="G288" s="29" t="str">
        <f t="shared" si="154"/>
        <v>ATE/IO48/AO</v>
      </c>
      <c r="H288" s="39" t="str">
        <f>Paths!$B$23 &amp; D288</f>
        <v>Targets/Controller/Hardware/Chassis/DAQ/PXI1Slot12/Analog Output/AO7</v>
      </c>
      <c r="I288" s="32" t="str">
        <f>"IO" &amp; A288</f>
        <v>IO48</v>
      </c>
      <c r="J288" s="103" t="s">
        <v>6</v>
      </c>
      <c r="K288" s="103" t="s">
        <v>7</v>
      </c>
      <c r="L288" s="106"/>
      <c r="M288" s="91"/>
      <c r="N288" s="94"/>
    </row>
    <row r="289" spans="1:14" x14ac:dyDescent="0.45">
      <c r="A289" s="98"/>
      <c r="B289" s="101"/>
      <c r="C289" s="30" t="str">
        <f>"SLSC-AL3011-1/AO " &amp; D289</f>
        <v>SLSC-AL3011-1/AO 31</v>
      </c>
      <c r="D289" s="30">
        <f t="shared" si="155"/>
        <v>31</v>
      </c>
      <c r="E289" s="56" t="str">
        <f t="shared" si="156"/>
        <v>Resistance 10 Ω - 8 MΩ</v>
      </c>
      <c r="F289" s="30" t="str">
        <f t="shared" si="157"/>
        <v>TBD</v>
      </c>
      <c r="G289" s="30" t="str">
        <f t="shared" si="154"/>
        <v>None</v>
      </c>
      <c r="H289" s="41" t="s">
        <v>28</v>
      </c>
      <c r="I289" s="60" t="str">
        <f>"IO" &amp; A288</f>
        <v>IO48</v>
      </c>
      <c r="J289" s="104"/>
      <c r="K289" s="104"/>
      <c r="L289" s="107"/>
      <c r="M289" s="92"/>
      <c r="N289" s="95"/>
    </row>
    <row r="290" spans="1:14" x14ac:dyDescent="0.45">
      <c r="A290" s="98"/>
      <c r="B290" s="101"/>
      <c r="C290" s="30" t="str">
        <f>"PXI 10-100-001/SPDT" &amp; D290</f>
        <v>PXI 10-100-001/SPDT66</v>
      </c>
      <c r="D290" s="30">
        <f t="shared" si="155"/>
        <v>66</v>
      </c>
      <c r="E290" s="30" t="str">
        <f t="shared" si="156"/>
        <v>DO (SPDT)</v>
      </c>
      <c r="F290" s="30" t="str">
        <f t="shared" si="157"/>
        <v>Select_AOR</v>
      </c>
      <c r="G290" s="30" t="str">
        <f t="shared" si="154"/>
        <v>ATE/IO48/Select_AOR</v>
      </c>
      <c r="H290" s="41" t="str">
        <f>Paths!$B$12 &amp; D290</f>
        <v>Targets/Controller/Custom Devices/PickeringSwitching/Subunit1/Switch1_66</v>
      </c>
      <c r="I290" s="60" t="str">
        <f>"IO" &amp; A288</f>
        <v>IO48</v>
      </c>
      <c r="J290" s="104"/>
      <c r="K290" s="104"/>
      <c r="L290" s="107"/>
      <c r="M290" s="92"/>
      <c r="N290" s="95"/>
    </row>
    <row r="291" spans="1:14" ht="14.65" thickBot="1" x14ac:dyDescent="0.5">
      <c r="A291" s="99"/>
      <c r="B291" s="102"/>
      <c r="C291" s="31" t="str">
        <f>"PXI-2510-1/dut" &amp; D291</f>
        <v>PXI-2510-1/dut47</v>
      </c>
      <c r="D291" s="31">
        <f t="shared" si="155"/>
        <v>47</v>
      </c>
      <c r="E291" s="31" t="str">
        <f t="shared" si="156"/>
        <v>FIU</v>
      </c>
      <c r="F291" s="31" t="str">
        <f t="shared" si="157"/>
        <v>TBD</v>
      </c>
      <c r="G291" s="31" t="str">
        <f t="shared" si="154"/>
        <v>None</v>
      </c>
      <c r="H291" s="42" t="s">
        <v>28</v>
      </c>
      <c r="I291" s="61" t="str">
        <f>"IO" &amp; A288</f>
        <v>IO48</v>
      </c>
      <c r="J291" s="105"/>
      <c r="K291" s="105"/>
      <c r="L291" s="108"/>
      <c r="M291" s="93"/>
      <c r="N291" s="96"/>
    </row>
    <row r="292" spans="1:14" ht="28.5" x14ac:dyDescent="0.45">
      <c r="A292" s="97">
        <f>A288+1</f>
        <v>49</v>
      </c>
      <c r="B292" s="100" t="str">
        <f>B288</f>
        <v>AO
AO U: 0-16 V
AO I: 0-20 mA
AO R: 10 Ω - 8 MΩ</v>
      </c>
      <c r="C292" s="29" t="str">
        <f>"PXIe-4322-3/AO" &amp; D292</f>
        <v>PXIe-4322-3/AO0</v>
      </c>
      <c r="D292" s="44">
        <v>0</v>
      </c>
      <c r="E292" s="55" t="str">
        <f t="shared" si="156"/>
        <v>Voltage out 0-16 V /
Current out 0-20 mA</v>
      </c>
      <c r="F292" s="29" t="str">
        <f t="shared" si="157"/>
        <v>AO</v>
      </c>
      <c r="G292" s="29" t="str">
        <f t="shared" ref="G292:G323" si="158">IF(OR(F292="None",F292="TBD"),"None",_xlfn.CONCAT("ATE/",I292,"/",F292))</f>
        <v>ATE/IO49/AO</v>
      </c>
      <c r="H292" s="39" t="str">
        <f>Paths!$B$24 &amp; D292</f>
        <v>Targets/Controller/Hardware/Chassis/DAQ/PXI1Slot13/Analog Output/AO0</v>
      </c>
      <c r="I292" s="32" t="str">
        <f>"IO" &amp; A292</f>
        <v>IO49</v>
      </c>
      <c r="J292" s="103" t="s">
        <v>6</v>
      </c>
      <c r="K292" s="103" t="s">
        <v>7</v>
      </c>
      <c r="L292" s="106"/>
      <c r="M292" s="91"/>
      <c r="N292" s="94"/>
    </row>
    <row r="293" spans="1:14" x14ac:dyDescent="0.45">
      <c r="A293" s="98"/>
      <c r="B293" s="101"/>
      <c r="C293" s="30" t="str">
        <f>"SLSC-AL3011-1/AO " &amp; D293</f>
        <v>SLSC-AL3011-1/AO 32</v>
      </c>
      <c r="D293" s="30">
        <f t="shared" ref="D293:D323" si="159">D289+1</f>
        <v>32</v>
      </c>
      <c r="E293" s="56" t="str">
        <f t="shared" si="156"/>
        <v>Resistance 10 Ω - 8 MΩ</v>
      </c>
      <c r="F293" s="30" t="str">
        <f t="shared" si="157"/>
        <v>TBD</v>
      </c>
      <c r="G293" s="30" t="str">
        <f t="shared" si="158"/>
        <v>None</v>
      </c>
      <c r="H293" s="41" t="s">
        <v>28</v>
      </c>
      <c r="I293" s="60" t="str">
        <f>"IO" &amp; A292</f>
        <v>IO49</v>
      </c>
      <c r="J293" s="104"/>
      <c r="K293" s="104"/>
      <c r="L293" s="107"/>
      <c r="M293" s="92"/>
      <c r="N293" s="95"/>
    </row>
    <row r="294" spans="1:14" x14ac:dyDescent="0.45">
      <c r="A294" s="98"/>
      <c r="B294" s="101"/>
      <c r="C294" s="30" t="str">
        <f>"PXI 10-100-001/SPDT" &amp; D294</f>
        <v>PXI 10-100-001/SPDT67</v>
      </c>
      <c r="D294" s="30">
        <f t="shared" si="159"/>
        <v>67</v>
      </c>
      <c r="E294" s="30" t="str">
        <f t="shared" si="156"/>
        <v>DO (SPDT)</v>
      </c>
      <c r="F294" s="30" t="str">
        <f t="shared" si="157"/>
        <v>Select_AOR</v>
      </c>
      <c r="G294" s="30" t="str">
        <f t="shared" si="158"/>
        <v>ATE/IO49/Select_AOR</v>
      </c>
      <c r="H294" s="41" t="str">
        <f>Paths!$B$12 &amp; D294</f>
        <v>Targets/Controller/Custom Devices/PickeringSwitching/Subunit1/Switch1_67</v>
      </c>
      <c r="I294" s="60" t="str">
        <f>"IO" &amp; A292</f>
        <v>IO49</v>
      </c>
      <c r="J294" s="104"/>
      <c r="K294" s="104"/>
      <c r="L294" s="107"/>
      <c r="M294" s="92"/>
      <c r="N294" s="95"/>
    </row>
    <row r="295" spans="1:14" ht="14.65" thickBot="1" x14ac:dyDescent="0.5">
      <c r="A295" s="99"/>
      <c r="B295" s="102"/>
      <c r="C295" s="31" t="str">
        <f>"PXI-2510-1/dut" &amp; D295</f>
        <v>PXI-2510-1/dut48</v>
      </c>
      <c r="D295" s="31">
        <f t="shared" si="159"/>
        <v>48</v>
      </c>
      <c r="E295" s="31" t="str">
        <f t="shared" si="156"/>
        <v>FIU</v>
      </c>
      <c r="F295" s="31" t="str">
        <f t="shared" si="157"/>
        <v>TBD</v>
      </c>
      <c r="G295" s="31" t="str">
        <f t="shared" si="158"/>
        <v>None</v>
      </c>
      <c r="H295" s="42" t="s">
        <v>28</v>
      </c>
      <c r="I295" s="61" t="str">
        <f>"IO" &amp; A292</f>
        <v>IO49</v>
      </c>
      <c r="J295" s="105"/>
      <c r="K295" s="105"/>
      <c r="L295" s="108"/>
      <c r="M295" s="93"/>
      <c r="N295" s="96"/>
    </row>
    <row r="296" spans="1:14" ht="28.5" x14ac:dyDescent="0.45">
      <c r="A296" s="97">
        <f>A292+1</f>
        <v>50</v>
      </c>
      <c r="B296" s="100" t="str">
        <f>B292</f>
        <v>AO
AO U: 0-16 V
AO I: 0-20 mA
AO R: 10 Ω - 8 MΩ</v>
      </c>
      <c r="C296" s="29" t="str">
        <f>"PXIe-4322-3/AO" &amp; D296</f>
        <v>PXIe-4322-3/AO1</v>
      </c>
      <c r="D296" s="29">
        <f t="shared" si="159"/>
        <v>1</v>
      </c>
      <c r="E296" s="55" t="str">
        <f t="shared" ref="E296:E327" si="160">E292</f>
        <v>Voltage out 0-16 V /
Current out 0-20 mA</v>
      </c>
      <c r="F296" s="29" t="str">
        <f t="shared" ref="F296:F327" si="161">F292</f>
        <v>AO</v>
      </c>
      <c r="G296" s="29" t="str">
        <f t="shared" si="158"/>
        <v>ATE/IO50/AO</v>
      </c>
      <c r="H296" s="39" t="str">
        <f>Paths!$B$24 &amp; D296</f>
        <v>Targets/Controller/Hardware/Chassis/DAQ/PXI1Slot13/Analog Output/AO1</v>
      </c>
      <c r="I296" s="32" t="str">
        <f>"IO" &amp; A296</f>
        <v>IO50</v>
      </c>
      <c r="J296" s="103" t="s">
        <v>6</v>
      </c>
      <c r="K296" s="103" t="s">
        <v>7</v>
      </c>
      <c r="L296" s="106"/>
      <c r="M296" s="91"/>
      <c r="N296" s="94"/>
    </row>
    <row r="297" spans="1:14" x14ac:dyDescent="0.45">
      <c r="A297" s="98"/>
      <c r="B297" s="101"/>
      <c r="C297" s="30" t="str">
        <f>"SLSC-AL3011-1/AO " &amp; D297</f>
        <v>SLSC-AL3011-1/AO 33</v>
      </c>
      <c r="D297" s="30">
        <f t="shared" si="159"/>
        <v>33</v>
      </c>
      <c r="E297" s="56" t="str">
        <f t="shared" si="160"/>
        <v>Resistance 10 Ω - 8 MΩ</v>
      </c>
      <c r="F297" s="30" t="str">
        <f t="shared" si="161"/>
        <v>TBD</v>
      </c>
      <c r="G297" s="30" t="str">
        <f t="shared" si="158"/>
        <v>None</v>
      </c>
      <c r="H297" s="41" t="s">
        <v>28</v>
      </c>
      <c r="I297" s="60" t="str">
        <f>"IO" &amp; A296</f>
        <v>IO50</v>
      </c>
      <c r="J297" s="104"/>
      <c r="K297" s="104"/>
      <c r="L297" s="107"/>
      <c r="M297" s="92"/>
      <c r="N297" s="95"/>
    </row>
    <row r="298" spans="1:14" x14ac:dyDescent="0.45">
      <c r="A298" s="98"/>
      <c r="B298" s="101"/>
      <c r="C298" s="30" t="str">
        <f>"PXI 10-100-001/SPDT" &amp; D298</f>
        <v>PXI 10-100-001/SPDT68</v>
      </c>
      <c r="D298" s="30">
        <f t="shared" si="159"/>
        <v>68</v>
      </c>
      <c r="E298" s="30" t="str">
        <f t="shared" si="160"/>
        <v>DO (SPDT)</v>
      </c>
      <c r="F298" s="30" t="str">
        <f t="shared" si="161"/>
        <v>Select_AOR</v>
      </c>
      <c r="G298" s="30" t="str">
        <f t="shared" si="158"/>
        <v>ATE/IO50/Select_AOR</v>
      </c>
      <c r="H298" s="41" t="str">
        <f>Paths!$B$12 &amp; D298</f>
        <v>Targets/Controller/Custom Devices/PickeringSwitching/Subunit1/Switch1_68</v>
      </c>
      <c r="I298" s="60" t="str">
        <f>"IO" &amp; A296</f>
        <v>IO50</v>
      </c>
      <c r="J298" s="104"/>
      <c r="K298" s="104"/>
      <c r="L298" s="107"/>
      <c r="M298" s="92"/>
      <c r="N298" s="95"/>
    </row>
    <row r="299" spans="1:14" ht="14.65" thickBot="1" x14ac:dyDescent="0.5">
      <c r="A299" s="99"/>
      <c r="B299" s="102"/>
      <c r="C299" s="31" t="str">
        <f>"PXI-2510-1/dut" &amp; D299</f>
        <v>PXI-2510-1/dut49</v>
      </c>
      <c r="D299" s="31">
        <f t="shared" si="159"/>
        <v>49</v>
      </c>
      <c r="E299" s="31" t="str">
        <f t="shared" si="160"/>
        <v>FIU</v>
      </c>
      <c r="F299" s="31" t="str">
        <f t="shared" si="161"/>
        <v>TBD</v>
      </c>
      <c r="G299" s="31" t="str">
        <f t="shared" si="158"/>
        <v>None</v>
      </c>
      <c r="H299" s="42" t="s">
        <v>28</v>
      </c>
      <c r="I299" s="61" t="str">
        <f>"IO" &amp; A296</f>
        <v>IO50</v>
      </c>
      <c r="J299" s="105"/>
      <c r="K299" s="105"/>
      <c r="L299" s="108"/>
      <c r="M299" s="93"/>
      <c r="N299" s="96"/>
    </row>
    <row r="300" spans="1:14" ht="28.5" x14ac:dyDescent="0.45">
      <c r="A300" s="97">
        <f>A296+1</f>
        <v>51</v>
      </c>
      <c r="B300" s="100" t="str">
        <f>B296</f>
        <v>AO
AO U: 0-16 V
AO I: 0-20 mA
AO R: 10 Ω - 8 MΩ</v>
      </c>
      <c r="C300" s="29" t="str">
        <f>"PXIe-4322-3/AO" &amp; D300</f>
        <v>PXIe-4322-3/AO2</v>
      </c>
      <c r="D300" s="29">
        <f t="shared" si="159"/>
        <v>2</v>
      </c>
      <c r="E300" s="55" t="str">
        <f t="shared" si="160"/>
        <v>Voltage out 0-16 V /
Current out 0-20 mA</v>
      </c>
      <c r="F300" s="29" t="str">
        <f t="shared" si="161"/>
        <v>AO</v>
      </c>
      <c r="G300" s="29" t="str">
        <f t="shared" si="158"/>
        <v>ATE/IO51/AO</v>
      </c>
      <c r="H300" s="39" t="str">
        <f>Paths!$B$24 &amp; D300</f>
        <v>Targets/Controller/Hardware/Chassis/DAQ/PXI1Slot13/Analog Output/AO2</v>
      </c>
      <c r="I300" s="32" t="str">
        <f>"IO" &amp; A300</f>
        <v>IO51</v>
      </c>
      <c r="J300" s="103" t="s">
        <v>6</v>
      </c>
      <c r="K300" s="103" t="s">
        <v>7</v>
      </c>
      <c r="L300" s="106"/>
      <c r="M300" s="91"/>
      <c r="N300" s="94"/>
    </row>
    <row r="301" spans="1:14" x14ac:dyDescent="0.45">
      <c r="A301" s="98"/>
      <c r="B301" s="101"/>
      <c r="C301" s="30" t="str">
        <f>"SLSC-AL3011-1/AO " &amp; D301</f>
        <v>SLSC-AL3011-1/AO 34</v>
      </c>
      <c r="D301" s="30">
        <f t="shared" si="159"/>
        <v>34</v>
      </c>
      <c r="E301" s="56" t="str">
        <f t="shared" si="160"/>
        <v>Resistance 10 Ω - 8 MΩ</v>
      </c>
      <c r="F301" s="30" t="str">
        <f t="shared" si="161"/>
        <v>TBD</v>
      </c>
      <c r="G301" s="30" t="str">
        <f t="shared" si="158"/>
        <v>None</v>
      </c>
      <c r="H301" s="41" t="s">
        <v>28</v>
      </c>
      <c r="I301" s="60" t="str">
        <f>"IO" &amp; A300</f>
        <v>IO51</v>
      </c>
      <c r="J301" s="104"/>
      <c r="K301" s="104"/>
      <c r="L301" s="107"/>
      <c r="M301" s="92"/>
      <c r="N301" s="95"/>
    </row>
    <row r="302" spans="1:14" x14ac:dyDescent="0.45">
      <c r="A302" s="98"/>
      <c r="B302" s="101"/>
      <c r="C302" s="30" t="str">
        <f>"PXI 10-100-001/SPDT" &amp; D302</f>
        <v>PXI 10-100-001/SPDT69</v>
      </c>
      <c r="D302" s="30">
        <f t="shared" si="159"/>
        <v>69</v>
      </c>
      <c r="E302" s="30" t="str">
        <f t="shared" si="160"/>
        <v>DO (SPDT)</v>
      </c>
      <c r="F302" s="30" t="str">
        <f t="shared" si="161"/>
        <v>Select_AOR</v>
      </c>
      <c r="G302" s="30" t="str">
        <f t="shared" si="158"/>
        <v>ATE/IO51/Select_AOR</v>
      </c>
      <c r="H302" s="41" t="str">
        <f>Paths!$B$12 &amp; D302</f>
        <v>Targets/Controller/Custom Devices/PickeringSwitching/Subunit1/Switch1_69</v>
      </c>
      <c r="I302" s="60" t="str">
        <f>"IO" &amp; A300</f>
        <v>IO51</v>
      </c>
      <c r="J302" s="104"/>
      <c r="K302" s="104"/>
      <c r="L302" s="107"/>
      <c r="M302" s="92"/>
      <c r="N302" s="95"/>
    </row>
    <row r="303" spans="1:14" ht="14.65" thickBot="1" x14ac:dyDescent="0.5">
      <c r="A303" s="99"/>
      <c r="B303" s="102"/>
      <c r="C303" s="31" t="str">
        <f>"PXI-2510-1/dut" &amp; D303</f>
        <v>PXI-2510-1/dut50</v>
      </c>
      <c r="D303" s="31">
        <f t="shared" si="159"/>
        <v>50</v>
      </c>
      <c r="E303" s="31" t="str">
        <f t="shared" si="160"/>
        <v>FIU</v>
      </c>
      <c r="F303" s="31" t="str">
        <f t="shared" si="161"/>
        <v>TBD</v>
      </c>
      <c r="G303" s="31" t="str">
        <f t="shared" si="158"/>
        <v>None</v>
      </c>
      <c r="H303" s="42" t="s">
        <v>28</v>
      </c>
      <c r="I303" s="61" t="str">
        <f>"IO" &amp; A300</f>
        <v>IO51</v>
      </c>
      <c r="J303" s="105"/>
      <c r="K303" s="105"/>
      <c r="L303" s="108"/>
      <c r="M303" s="93"/>
      <c r="N303" s="96"/>
    </row>
    <row r="304" spans="1:14" ht="28.5" x14ac:dyDescent="0.45">
      <c r="A304" s="97">
        <f>A300+1</f>
        <v>52</v>
      </c>
      <c r="B304" s="100" t="str">
        <f>B300</f>
        <v>AO
AO U: 0-16 V
AO I: 0-20 mA
AO R: 10 Ω - 8 MΩ</v>
      </c>
      <c r="C304" s="29" t="str">
        <f>"PXIe-4322-3/AO" &amp; D304</f>
        <v>PXIe-4322-3/AO3</v>
      </c>
      <c r="D304" s="29">
        <f t="shared" si="159"/>
        <v>3</v>
      </c>
      <c r="E304" s="55" t="str">
        <f t="shared" si="160"/>
        <v>Voltage out 0-16 V /
Current out 0-20 mA</v>
      </c>
      <c r="F304" s="29" t="str">
        <f t="shared" si="161"/>
        <v>AO</v>
      </c>
      <c r="G304" s="29" t="str">
        <f t="shared" si="158"/>
        <v>ATE/IO52/AO</v>
      </c>
      <c r="H304" s="39" t="str">
        <f>Paths!$B$24 &amp; D304</f>
        <v>Targets/Controller/Hardware/Chassis/DAQ/PXI1Slot13/Analog Output/AO3</v>
      </c>
      <c r="I304" s="32" t="str">
        <f>"IO" &amp; A304</f>
        <v>IO52</v>
      </c>
      <c r="J304" s="103" t="s">
        <v>6</v>
      </c>
      <c r="K304" s="103" t="s">
        <v>7</v>
      </c>
      <c r="L304" s="106"/>
      <c r="M304" s="91"/>
      <c r="N304" s="94"/>
    </row>
    <row r="305" spans="1:14" x14ac:dyDescent="0.45">
      <c r="A305" s="98"/>
      <c r="B305" s="101"/>
      <c r="C305" s="30" t="str">
        <f>"SLSC-AL3011-1/AO " &amp; D305</f>
        <v>SLSC-AL3011-1/AO 35</v>
      </c>
      <c r="D305" s="30">
        <f t="shared" si="159"/>
        <v>35</v>
      </c>
      <c r="E305" s="56" t="str">
        <f t="shared" si="160"/>
        <v>Resistance 10 Ω - 8 MΩ</v>
      </c>
      <c r="F305" s="30" t="str">
        <f t="shared" si="161"/>
        <v>TBD</v>
      </c>
      <c r="G305" s="30" t="str">
        <f t="shared" si="158"/>
        <v>None</v>
      </c>
      <c r="H305" s="41" t="s">
        <v>28</v>
      </c>
      <c r="I305" s="60" t="str">
        <f>"IO" &amp; A304</f>
        <v>IO52</v>
      </c>
      <c r="J305" s="104"/>
      <c r="K305" s="104"/>
      <c r="L305" s="107"/>
      <c r="M305" s="92"/>
      <c r="N305" s="95"/>
    </row>
    <row r="306" spans="1:14" x14ac:dyDescent="0.45">
      <c r="A306" s="98"/>
      <c r="B306" s="101"/>
      <c r="C306" s="30" t="str">
        <f>"PXI 10-100-001/SPDT" &amp; D306</f>
        <v>PXI 10-100-001/SPDT70</v>
      </c>
      <c r="D306" s="30">
        <f t="shared" si="159"/>
        <v>70</v>
      </c>
      <c r="E306" s="30" t="str">
        <f t="shared" si="160"/>
        <v>DO (SPDT)</v>
      </c>
      <c r="F306" s="30" t="str">
        <f t="shared" si="161"/>
        <v>Select_AOR</v>
      </c>
      <c r="G306" s="30" t="str">
        <f t="shared" si="158"/>
        <v>ATE/IO52/Select_AOR</v>
      </c>
      <c r="H306" s="41" t="str">
        <f>Paths!$B$12 &amp; D306</f>
        <v>Targets/Controller/Custom Devices/PickeringSwitching/Subunit1/Switch1_70</v>
      </c>
      <c r="I306" s="60" t="str">
        <f>"IO" &amp; A304</f>
        <v>IO52</v>
      </c>
      <c r="J306" s="104"/>
      <c r="K306" s="104"/>
      <c r="L306" s="107"/>
      <c r="M306" s="92"/>
      <c r="N306" s="95"/>
    </row>
    <row r="307" spans="1:14" ht="14.65" thickBot="1" x14ac:dyDescent="0.5">
      <c r="A307" s="99"/>
      <c r="B307" s="102"/>
      <c r="C307" s="31" t="str">
        <f>"PXI-2510-1/dut" &amp; D307</f>
        <v>PXI-2510-1/dut51</v>
      </c>
      <c r="D307" s="31">
        <f t="shared" si="159"/>
        <v>51</v>
      </c>
      <c r="E307" s="31" t="str">
        <f t="shared" si="160"/>
        <v>FIU</v>
      </c>
      <c r="F307" s="31" t="str">
        <f t="shared" si="161"/>
        <v>TBD</v>
      </c>
      <c r="G307" s="31" t="str">
        <f t="shared" si="158"/>
        <v>None</v>
      </c>
      <c r="H307" s="42" t="s">
        <v>28</v>
      </c>
      <c r="I307" s="61" t="str">
        <f>"IO" &amp; A304</f>
        <v>IO52</v>
      </c>
      <c r="J307" s="105"/>
      <c r="K307" s="105"/>
      <c r="L307" s="108"/>
      <c r="M307" s="93"/>
      <c r="N307" s="96"/>
    </row>
    <row r="308" spans="1:14" ht="28.5" x14ac:dyDescent="0.45">
      <c r="A308" s="97">
        <f>A304+1</f>
        <v>53</v>
      </c>
      <c r="B308" s="100" t="str">
        <f>B304</f>
        <v>AO
AO U: 0-16 V
AO I: 0-20 mA
AO R: 10 Ω - 8 MΩ</v>
      </c>
      <c r="C308" s="29" t="str">
        <f>"PXIe-4322-3/AO" &amp; D308</f>
        <v>PXIe-4322-3/AO4</v>
      </c>
      <c r="D308" s="29">
        <f t="shared" si="159"/>
        <v>4</v>
      </c>
      <c r="E308" s="55" t="str">
        <f t="shared" si="160"/>
        <v>Voltage out 0-16 V /
Current out 0-20 mA</v>
      </c>
      <c r="F308" s="29" t="str">
        <f t="shared" si="161"/>
        <v>AO</v>
      </c>
      <c r="G308" s="29" t="str">
        <f t="shared" si="158"/>
        <v>ATE/IO53/AO</v>
      </c>
      <c r="H308" s="39" t="str">
        <f>Paths!$B$24 &amp; D308</f>
        <v>Targets/Controller/Hardware/Chassis/DAQ/PXI1Slot13/Analog Output/AO4</v>
      </c>
      <c r="I308" s="32" t="str">
        <f>"IO" &amp; A308</f>
        <v>IO53</v>
      </c>
      <c r="J308" s="103" t="s">
        <v>6</v>
      </c>
      <c r="K308" s="103" t="s">
        <v>7</v>
      </c>
      <c r="L308" s="106"/>
      <c r="M308" s="91"/>
      <c r="N308" s="94"/>
    </row>
    <row r="309" spans="1:14" x14ac:dyDescent="0.45">
      <c r="A309" s="98"/>
      <c r="B309" s="101"/>
      <c r="C309" s="30" t="str">
        <f>"SLSC-AL3011-1/AO " &amp; D309</f>
        <v>SLSC-AL3011-1/AO 36</v>
      </c>
      <c r="D309" s="30">
        <f t="shared" si="159"/>
        <v>36</v>
      </c>
      <c r="E309" s="56" t="str">
        <f t="shared" si="160"/>
        <v>Resistance 10 Ω - 8 MΩ</v>
      </c>
      <c r="F309" s="30" t="str">
        <f t="shared" si="161"/>
        <v>TBD</v>
      </c>
      <c r="G309" s="30" t="str">
        <f t="shared" si="158"/>
        <v>None</v>
      </c>
      <c r="H309" s="41" t="s">
        <v>28</v>
      </c>
      <c r="I309" s="60" t="str">
        <f>"IO" &amp; A308</f>
        <v>IO53</v>
      </c>
      <c r="J309" s="104"/>
      <c r="K309" s="104"/>
      <c r="L309" s="107"/>
      <c r="M309" s="92"/>
      <c r="N309" s="95"/>
    </row>
    <row r="310" spans="1:14" x14ac:dyDescent="0.45">
      <c r="A310" s="98"/>
      <c r="B310" s="101"/>
      <c r="C310" s="30" t="str">
        <f>"PXI 10-100-001/SPDT" &amp; D310</f>
        <v>PXI 10-100-001/SPDT71</v>
      </c>
      <c r="D310" s="30">
        <f t="shared" si="159"/>
        <v>71</v>
      </c>
      <c r="E310" s="30" t="str">
        <f t="shared" si="160"/>
        <v>DO (SPDT)</v>
      </c>
      <c r="F310" s="30" t="str">
        <f t="shared" si="161"/>
        <v>Select_AOR</v>
      </c>
      <c r="G310" s="30" t="str">
        <f t="shared" si="158"/>
        <v>ATE/IO53/Select_AOR</v>
      </c>
      <c r="H310" s="41" t="str">
        <f>Paths!$B$12 &amp; D310</f>
        <v>Targets/Controller/Custom Devices/PickeringSwitching/Subunit1/Switch1_71</v>
      </c>
      <c r="I310" s="60" t="str">
        <f>"IO" &amp; A308</f>
        <v>IO53</v>
      </c>
      <c r="J310" s="104"/>
      <c r="K310" s="104"/>
      <c r="L310" s="107"/>
      <c r="M310" s="92"/>
      <c r="N310" s="95"/>
    </row>
    <row r="311" spans="1:14" ht="14.65" thickBot="1" x14ac:dyDescent="0.5">
      <c r="A311" s="99"/>
      <c r="B311" s="102"/>
      <c r="C311" s="31" t="str">
        <f>"PXI-2510-1/dut" &amp; D311</f>
        <v>PXI-2510-1/dut52</v>
      </c>
      <c r="D311" s="31">
        <f t="shared" si="159"/>
        <v>52</v>
      </c>
      <c r="E311" s="31" t="str">
        <f t="shared" si="160"/>
        <v>FIU</v>
      </c>
      <c r="F311" s="31" t="str">
        <f t="shared" si="161"/>
        <v>TBD</v>
      </c>
      <c r="G311" s="31" t="str">
        <f t="shared" si="158"/>
        <v>None</v>
      </c>
      <c r="H311" s="42" t="s">
        <v>28</v>
      </c>
      <c r="I311" s="61" t="str">
        <f>"IO" &amp; A308</f>
        <v>IO53</v>
      </c>
      <c r="J311" s="105"/>
      <c r="K311" s="105"/>
      <c r="L311" s="108"/>
      <c r="M311" s="93"/>
      <c r="N311" s="96"/>
    </row>
    <row r="312" spans="1:14" ht="28.5" x14ac:dyDescent="0.45">
      <c r="A312" s="97">
        <f>A308+1</f>
        <v>54</v>
      </c>
      <c r="B312" s="100" t="str">
        <f>B308</f>
        <v>AO
AO U: 0-16 V
AO I: 0-20 mA
AO R: 10 Ω - 8 MΩ</v>
      </c>
      <c r="C312" s="29" t="str">
        <f>"PXIe-4322-3/AO" &amp; D312</f>
        <v>PXIe-4322-3/AO5</v>
      </c>
      <c r="D312" s="29">
        <f t="shared" si="159"/>
        <v>5</v>
      </c>
      <c r="E312" s="55" t="str">
        <f t="shared" si="160"/>
        <v>Voltage out 0-16 V /
Current out 0-20 mA</v>
      </c>
      <c r="F312" s="29" t="str">
        <f t="shared" si="161"/>
        <v>AO</v>
      </c>
      <c r="G312" s="29" t="str">
        <f t="shared" si="158"/>
        <v>ATE/IO54/AO</v>
      </c>
      <c r="H312" s="39" t="str">
        <f>Paths!$B$24 &amp; D312</f>
        <v>Targets/Controller/Hardware/Chassis/DAQ/PXI1Slot13/Analog Output/AO5</v>
      </c>
      <c r="I312" s="32" t="str">
        <f>"IO" &amp; A312</f>
        <v>IO54</v>
      </c>
      <c r="J312" s="103" t="s">
        <v>6</v>
      </c>
      <c r="K312" s="103" t="s">
        <v>7</v>
      </c>
      <c r="L312" s="106"/>
      <c r="M312" s="91"/>
      <c r="N312" s="94"/>
    </row>
    <row r="313" spans="1:14" x14ac:dyDescent="0.45">
      <c r="A313" s="98"/>
      <c r="B313" s="101"/>
      <c r="C313" s="30" t="str">
        <f>"SLSC-AL3011-1/AO " &amp; D313</f>
        <v>SLSC-AL3011-1/AO 37</v>
      </c>
      <c r="D313" s="30">
        <f t="shared" si="159"/>
        <v>37</v>
      </c>
      <c r="E313" s="56" t="str">
        <f t="shared" si="160"/>
        <v>Resistance 10 Ω - 8 MΩ</v>
      </c>
      <c r="F313" s="30" t="str">
        <f t="shared" si="161"/>
        <v>TBD</v>
      </c>
      <c r="G313" s="30" t="str">
        <f t="shared" si="158"/>
        <v>None</v>
      </c>
      <c r="H313" s="41" t="s">
        <v>28</v>
      </c>
      <c r="I313" s="60" t="str">
        <f>"IO" &amp; A312</f>
        <v>IO54</v>
      </c>
      <c r="J313" s="104"/>
      <c r="K313" s="104"/>
      <c r="L313" s="107"/>
      <c r="M313" s="92"/>
      <c r="N313" s="95"/>
    </row>
    <row r="314" spans="1:14" x14ac:dyDescent="0.45">
      <c r="A314" s="98"/>
      <c r="B314" s="101"/>
      <c r="C314" s="30" t="str">
        <f>"PXI 10-100-001/SPDT" &amp; D314</f>
        <v>PXI 10-100-001/SPDT72</v>
      </c>
      <c r="D314" s="30">
        <f t="shared" si="159"/>
        <v>72</v>
      </c>
      <c r="E314" s="30" t="str">
        <f t="shared" si="160"/>
        <v>DO (SPDT)</v>
      </c>
      <c r="F314" s="30" t="str">
        <f t="shared" si="161"/>
        <v>Select_AOR</v>
      </c>
      <c r="G314" s="30" t="str">
        <f t="shared" si="158"/>
        <v>ATE/IO54/Select_AOR</v>
      </c>
      <c r="H314" s="41" t="str">
        <f>Paths!$B$12 &amp; D314</f>
        <v>Targets/Controller/Custom Devices/PickeringSwitching/Subunit1/Switch1_72</v>
      </c>
      <c r="I314" s="60" t="str">
        <f>"IO" &amp; A312</f>
        <v>IO54</v>
      </c>
      <c r="J314" s="104"/>
      <c r="K314" s="104"/>
      <c r="L314" s="107"/>
      <c r="M314" s="92"/>
      <c r="N314" s="95"/>
    </row>
    <row r="315" spans="1:14" ht="14.65" thickBot="1" x14ac:dyDescent="0.5">
      <c r="A315" s="99"/>
      <c r="B315" s="102"/>
      <c r="C315" s="31" t="str">
        <f>"PXI-2510-1/dut" &amp; D315</f>
        <v>PXI-2510-1/dut53</v>
      </c>
      <c r="D315" s="31">
        <f t="shared" si="159"/>
        <v>53</v>
      </c>
      <c r="E315" s="31" t="str">
        <f t="shared" si="160"/>
        <v>FIU</v>
      </c>
      <c r="F315" s="31" t="str">
        <f t="shared" si="161"/>
        <v>TBD</v>
      </c>
      <c r="G315" s="31" t="str">
        <f t="shared" si="158"/>
        <v>None</v>
      </c>
      <c r="H315" s="42" t="s">
        <v>28</v>
      </c>
      <c r="I315" s="61" t="str">
        <f>"IO" &amp; A312</f>
        <v>IO54</v>
      </c>
      <c r="J315" s="105"/>
      <c r="K315" s="105"/>
      <c r="L315" s="108"/>
      <c r="M315" s="93"/>
      <c r="N315" s="96"/>
    </row>
    <row r="316" spans="1:14" ht="28.5" x14ac:dyDescent="0.45">
      <c r="A316" s="97">
        <f>A312+1</f>
        <v>55</v>
      </c>
      <c r="B316" s="100" t="str">
        <f>B312</f>
        <v>AO
AO U: 0-16 V
AO I: 0-20 mA
AO R: 10 Ω - 8 MΩ</v>
      </c>
      <c r="C316" s="29" t="str">
        <f>"PXIe-4322-3/AO" &amp; D316</f>
        <v>PXIe-4322-3/AO6</v>
      </c>
      <c r="D316" s="29">
        <f t="shared" si="159"/>
        <v>6</v>
      </c>
      <c r="E316" s="55" t="str">
        <f t="shared" si="160"/>
        <v>Voltage out 0-16 V /
Current out 0-20 mA</v>
      </c>
      <c r="F316" s="29" t="str">
        <f t="shared" si="161"/>
        <v>AO</v>
      </c>
      <c r="G316" s="29" t="str">
        <f t="shared" si="158"/>
        <v>ATE/IO55/AO</v>
      </c>
      <c r="H316" s="39" t="str">
        <f>Paths!$B$24 &amp; D316</f>
        <v>Targets/Controller/Hardware/Chassis/DAQ/PXI1Slot13/Analog Output/AO6</v>
      </c>
      <c r="I316" s="32" t="str">
        <f>"IO" &amp; A316</f>
        <v>IO55</v>
      </c>
      <c r="J316" s="103" t="s">
        <v>6</v>
      </c>
      <c r="K316" s="103" t="s">
        <v>7</v>
      </c>
      <c r="L316" s="106"/>
      <c r="M316" s="91"/>
      <c r="N316" s="94"/>
    </row>
    <row r="317" spans="1:14" x14ac:dyDescent="0.45">
      <c r="A317" s="98"/>
      <c r="B317" s="101"/>
      <c r="C317" s="30" t="str">
        <f>"SLSC-AL3011-1/AO " &amp; D317</f>
        <v>SLSC-AL3011-1/AO 38</v>
      </c>
      <c r="D317" s="30">
        <f t="shared" si="159"/>
        <v>38</v>
      </c>
      <c r="E317" s="56" t="str">
        <f t="shared" si="160"/>
        <v>Resistance 10 Ω - 8 MΩ</v>
      </c>
      <c r="F317" s="30" t="str">
        <f t="shared" si="161"/>
        <v>TBD</v>
      </c>
      <c r="G317" s="30" t="str">
        <f t="shared" si="158"/>
        <v>None</v>
      </c>
      <c r="H317" s="41" t="s">
        <v>28</v>
      </c>
      <c r="I317" s="60" t="str">
        <f>"IO" &amp; A316</f>
        <v>IO55</v>
      </c>
      <c r="J317" s="104"/>
      <c r="K317" s="104"/>
      <c r="L317" s="107"/>
      <c r="M317" s="92"/>
      <c r="N317" s="95"/>
    </row>
    <row r="318" spans="1:14" x14ac:dyDescent="0.45">
      <c r="A318" s="98"/>
      <c r="B318" s="101"/>
      <c r="C318" s="30" t="str">
        <f>"PXI 10-100-001/SPDT" &amp; D318</f>
        <v>PXI 10-100-001/SPDT73</v>
      </c>
      <c r="D318" s="30">
        <f t="shared" si="159"/>
        <v>73</v>
      </c>
      <c r="E318" s="30" t="str">
        <f t="shared" si="160"/>
        <v>DO (SPDT)</v>
      </c>
      <c r="F318" s="30" t="str">
        <f t="shared" si="161"/>
        <v>Select_AOR</v>
      </c>
      <c r="G318" s="30" t="str">
        <f t="shared" si="158"/>
        <v>ATE/IO55/Select_AOR</v>
      </c>
      <c r="H318" s="41" t="str">
        <f>Paths!$B$12 &amp; D318</f>
        <v>Targets/Controller/Custom Devices/PickeringSwitching/Subunit1/Switch1_73</v>
      </c>
      <c r="I318" s="60" t="str">
        <f>"IO" &amp; A316</f>
        <v>IO55</v>
      </c>
      <c r="J318" s="104"/>
      <c r="K318" s="104"/>
      <c r="L318" s="107"/>
      <c r="M318" s="92"/>
      <c r="N318" s="95"/>
    </row>
    <row r="319" spans="1:14" ht="14.65" thickBot="1" x14ac:dyDescent="0.5">
      <c r="A319" s="99"/>
      <c r="B319" s="102"/>
      <c r="C319" s="31" t="str">
        <f>"PXI-2510-1/dut" &amp; D319</f>
        <v>PXI-2510-1/dut54</v>
      </c>
      <c r="D319" s="31">
        <f t="shared" si="159"/>
        <v>54</v>
      </c>
      <c r="E319" s="31" t="str">
        <f t="shared" si="160"/>
        <v>FIU</v>
      </c>
      <c r="F319" s="31" t="str">
        <f t="shared" si="161"/>
        <v>TBD</v>
      </c>
      <c r="G319" s="31" t="str">
        <f t="shared" si="158"/>
        <v>None</v>
      </c>
      <c r="H319" s="42" t="s">
        <v>28</v>
      </c>
      <c r="I319" s="61" t="str">
        <f>"IO" &amp; A316</f>
        <v>IO55</v>
      </c>
      <c r="J319" s="105"/>
      <c r="K319" s="105"/>
      <c r="L319" s="108"/>
      <c r="M319" s="93"/>
      <c r="N319" s="96"/>
    </row>
    <row r="320" spans="1:14" ht="28.5" x14ac:dyDescent="0.45">
      <c r="A320" s="97">
        <f>A316+1</f>
        <v>56</v>
      </c>
      <c r="B320" s="100" t="str">
        <f>B316</f>
        <v>AO
AO U: 0-16 V
AO I: 0-20 mA
AO R: 10 Ω - 8 MΩ</v>
      </c>
      <c r="C320" s="29" t="str">
        <f>"PXIe-4322-3/AO" &amp; D320</f>
        <v>PXIe-4322-3/AO7</v>
      </c>
      <c r="D320" s="29">
        <f t="shared" si="159"/>
        <v>7</v>
      </c>
      <c r="E320" s="55" t="str">
        <f t="shared" si="160"/>
        <v>Voltage out 0-16 V /
Current out 0-20 mA</v>
      </c>
      <c r="F320" s="29" t="str">
        <f t="shared" si="161"/>
        <v>AO</v>
      </c>
      <c r="G320" s="29" t="str">
        <f t="shared" si="158"/>
        <v>ATE/IO56/AO</v>
      </c>
      <c r="H320" s="39" t="str">
        <f>Paths!$B$24 &amp; D320</f>
        <v>Targets/Controller/Hardware/Chassis/DAQ/PXI1Slot13/Analog Output/AO7</v>
      </c>
      <c r="I320" s="32" t="str">
        <f>"IO" &amp; A320</f>
        <v>IO56</v>
      </c>
      <c r="J320" s="103" t="s">
        <v>6</v>
      </c>
      <c r="K320" s="103" t="s">
        <v>7</v>
      </c>
      <c r="L320" s="106"/>
      <c r="M320" s="91"/>
      <c r="N320" s="94"/>
    </row>
    <row r="321" spans="1:14" x14ac:dyDescent="0.45">
      <c r="A321" s="98"/>
      <c r="B321" s="101"/>
      <c r="C321" s="30" t="str">
        <f>"SLSC-AL3011-1/AO " &amp; D321</f>
        <v>SLSC-AL3011-1/AO 39</v>
      </c>
      <c r="D321" s="30">
        <f t="shared" si="159"/>
        <v>39</v>
      </c>
      <c r="E321" s="56" t="str">
        <f t="shared" si="160"/>
        <v>Resistance 10 Ω - 8 MΩ</v>
      </c>
      <c r="F321" s="30" t="str">
        <f t="shared" si="161"/>
        <v>TBD</v>
      </c>
      <c r="G321" s="30" t="str">
        <f t="shared" si="158"/>
        <v>None</v>
      </c>
      <c r="H321" s="41" t="s">
        <v>28</v>
      </c>
      <c r="I321" s="60" t="str">
        <f>"IO" &amp; A320</f>
        <v>IO56</v>
      </c>
      <c r="J321" s="104"/>
      <c r="K321" s="104"/>
      <c r="L321" s="107"/>
      <c r="M321" s="92"/>
      <c r="N321" s="95"/>
    </row>
    <row r="322" spans="1:14" x14ac:dyDescent="0.45">
      <c r="A322" s="98"/>
      <c r="B322" s="101"/>
      <c r="C322" s="30" t="str">
        <f>"PXI 10-100-001/SPDT" &amp; D322</f>
        <v>PXI 10-100-001/SPDT74</v>
      </c>
      <c r="D322" s="30">
        <f t="shared" si="159"/>
        <v>74</v>
      </c>
      <c r="E322" s="30" t="str">
        <f t="shared" si="160"/>
        <v>DO (SPDT)</v>
      </c>
      <c r="F322" s="30" t="str">
        <f t="shared" si="161"/>
        <v>Select_AOR</v>
      </c>
      <c r="G322" s="30" t="str">
        <f t="shared" si="158"/>
        <v>ATE/IO56/Select_AOR</v>
      </c>
      <c r="H322" s="41" t="str">
        <f>Paths!$B$12 &amp; D322</f>
        <v>Targets/Controller/Custom Devices/PickeringSwitching/Subunit1/Switch1_74</v>
      </c>
      <c r="I322" s="60" t="str">
        <f>"IO" &amp; A320</f>
        <v>IO56</v>
      </c>
      <c r="J322" s="104"/>
      <c r="K322" s="104"/>
      <c r="L322" s="107"/>
      <c r="M322" s="92"/>
      <c r="N322" s="95"/>
    </row>
    <row r="323" spans="1:14" ht="14.65" thickBot="1" x14ac:dyDescent="0.5">
      <c r="A323" s="99"/>
      <c r="B323" s="102"/>
      <c r="C323" s="31" t="str">
        <f>"PXI-2510-1/dut" &amp; D323</f>
        <v>PXI-2510-1/dut55</v>
      </c>
      <c r="D323" s="31">
        <f t="shared" si="159"/>
        <v>55</v>
      </c>
      <c r="E323" s="31" t="str">
        <f t="shared" si="160"/>
        <v>FIU</v>
      </c>
      <c r="F323" s="31" t="str">
        <f t="shared" si="161"/>
        <v>TBD</v>
      </c>
      <c r="G323" s="31" t="str">
        <f t="shared" si="158"/>
        <v>None</v>
      </c>
      <c r="H323" s="42" t="s">
        <v>28</v>
      </c>
      <c r="I323" s="61" t="str">
        <f>"IO" &amp; A320</f>
        <v>IO56</v>
      </c>
      <c r="J323" s="105"/>
      <c r="K323" s="105"/>
      <c r="L323" s="108"/>
      <c r="M323" s="93"/>
      <c r="N323" s="96"/>
    </row>
    <row r="324" spans="1:14" ht="28.5" x14ac:dyDescent="0.45">
      <c r="A324" s="97">
        <f>A320+1</f>
        <v>57</v>
      </c>
      <c r="B324" s="100" t="str">
        <f>B320</f>
        <v>AO
AO U: 0-16 V
AO I: 0-20 mA
AO R: 10 Ω - 8 MΩ</v>
      </c>
      <c r="C324" s="29" t="str">
        <f>"PXIe-4322-4/AO" &amp; D324</f>
        <v>PXIe-4322-4/AO0</v>
      </c>
      <c r="D324" s="44">
        <v>0</v>
      </c>
      <c r="E324" s="55" t="str">
        <f t="shared" si="160"/>
        <v>Voltage out 0-16 V /
Current out 0-20 mA</v>
      </c>
      <c r="F324" s="29" t="str">
        <f t="shared" si="161"/>
        <v>AO</v>
      </c>
      <c r="G324" s="29" t="str">
        <f t="shared" ref="G324:G355" si="162">IF(OR(F324="None",F324="TBD"),"None",_xlfn.CONCAT("ATE/",I324,"/",F324))</f>
        <v>ATE/IO57/AO</v>
      </c>
      <c r="H324" s="39" t="str">
        <f>Paths!$B$25 &amp; D324</f>
        <v>Targets/Controller/Hardware/Chassis/DAQ/PXI1Slot14/Analog Output/AO0</v>
      </c>
      <c r="I324" s="32" t="str">
        <f>"IO" &amp; A324</f>
        <v>IO57</v>
      </c>
      <c r="J324" s="103" t="s">
        <v>6</v>
      </c>
      <c r="K324" s="103" t="s">
        <v>7</v>
      </c>
      <c r="L324" s="106"/>
      <c r="M324" s="91"/>
      <c r="N324" s="94"/>
    </row>
    <row r="325" spans="1:14" x14ac:dyDescent="0.45">
      <c r="A325" s="98"/>
      <c r="B325" s="101"/>
      <c r="C325" s="30" t="str">
        <f>"SLSC-AL3011-1/AO " &amp; D325</f>
        <v>SLSC-AL3011-1/AO 40</v>
      </c>
      <c r="D325" s="30">
        <f t="shared" ref="D325:D355" si="163">D321+1</f>
        <v>40</v>
      </c>
      <c r="E325" s="56" t="str">
        <f t="shared" si="160"/>
        <v>Resistance 10 Ω - 8 MΩ</v>
      </c>
      <c r="F325" s="30" t="str">
        <f t="shared" si="161"/>
        <v>TBD</v>
      </c>
      <c r="G325" s="30" t="str">
        <f t="shared" si="162"/>
        <v>None</v>
      </c>
      <c r="H325" s="41" t="s">
        <v>28</v>
      </c>
      <c r="I325" s="60" t="str">
        <f>"IO" &amp; A324</f>
        <v>IO57</v>
      </c>
      <c r="J325" s="104"/>
      <c r="K325" s="104"/>
      <c r="L325" s="107"/>
      <c r="M325" s="92"/>
      <c r="N325" s="95"/>
    </row>
    <row r="326" spans="1:14" x14ac:dyDescent="0.45">
      <c r="A326" s="98"/>
      <c r="B326" s="101"/>
      <c r="C326" s="30" t="str">
        <f>"PXI 10-100-001/SPDT" &amp; D326</f>
        <v>PXI 10-100-001/SPDT75</v>
      </c>
      <c r="D326" s="30">
        <f t="shared" si="163"/>
        <v>75</v>
      </c>
      <c r="E326" s="30" t="str">
        <f t="shared" si="160"/>
        <v>DO (SPDT)</v>
      </c>
      <c r="F326" s="30" t="str">
        <f t="shared" si="161"/>
        <v>Select_AOR</v>
      </c>
      <c r="G326" s="30" t="str">
        <f t="shared" si="162"/>
        <v>ATE/IO57/Select_AOR</v>
      </c>
      <c r="H326" s="41" t="str">
        <f>Paths!$B$12 &amp; D326</f>
        <v>Targets/Controller/Custom Devices/PickeringSwitching/Subunit1/Switch1_75</v>
      </c>
      <c r="I326" s="60" t="str">
        <f>"IO" &amp; A324</f>
        <v>IO57</v>
      </c>
      <c r="J326" s="104"/>
      <c r="K326" s="104"/>
      <c r="L326" s="107"/>
      <c r="M326" s="92"/>
      <c r="N326" s="95"/>
    </row>
    <row r="327" spans="1:14" ht="14.65" thickBot="1" x14ac:dyDescent="0.5">
      <c r="A327" s="99"/>
      <c r="B327" s="102"/>
      <c r="C327" s="31" t="str">
        <f>"PXI-2510-1/dut" &amp; D327</f>
        <v>PXI-2510-1/dut56</v>
      </c>
      <c r="D327" s="31">
        <f t="shared" si="163"/>
        <v>56</v>
      </c>
      <c r="E327" s="31" t="str">
        <f t="shared" si="160"/>
        <v>FIU</v>
      </c>
      <c r="F327" s="31" t="str">
        <f t="shared" si="161"/>
        <v>TBD</v>
      </c>
      <c r="G327" s="31" t="str">
        <f t="shared" si="162"/>
        <v>None</v>
      </c>
      <c r="H327" s="42" t="s">
        <v>28</v>
      </c>
      <c r="I327" s="61" t="str">
        <f>"IO" &amp; A324</f>
        <v>IO57</v>
      </c>
      <c r="J327" s="105"/>
      <c r="K327" s="105"/>
      <c r="L327" s="108"/>
      <c r="M327" s="93"/>
      <c r="N327" s="96"/>
    </row>
    <row r="328" spans="1:14" ht="28.5" x14ac:dyDescent="0.45">
      <c r="A328" s="97">
        <f>A324+1</f>
        <v>58</v>
      </c>
      <c r="B328" s="100" t="str">
        <f>B324</f>
        <v>AO
AO U: 0-16 V
AO I: 0-20 mA
AO R: 10 Ω - 8 MΩ</v>
      </c>
      <c r="C328" s="29" t="str">
        <f>"PXIe-4322-4/AO" &amp; D328</f>
        <v>PXIe-4322-4/AO1</v>
      </c>
      <c r="D328" s="29">
        <f t="shared" si="163"/>
        <v>1</v>
      </c>
      <c r="E328" s="55" t="str">
        <f t="shared" ref="E328:E355" si="164">E324</f>
        <v>Voltage out 0-16 V /
Current out 0-20 mA</v>
      </c>
      <c r="F328" s="29" t="str">
        <f t="shared" ref="F328:F355" si="165">F324</f>
        <v>AO</v>
      </c>
      <c r="G328" s="29" t="str">
        <f t="shared" si="162"/>
        <v>ATE/IO58/AO</v>
      </c>
      <c r="H328" s="39" t="str">
        <f>Paths!$B$25 &amp; D328</f>
        <v>Targets/Controller/Hardware/Chassis/DAQ/PXI1Slot14/Analog Output/AO1</v>
      </c>
      <c r="I328" s="32" t="str">
        <f>"IO" &amp; A328</f>
        <v>IO58</v>
      </c>
      <c r="J328" s="103" t="s">
        <v>6</v>
      </c>
      <c r="K328" s="103" t="s">
        <v>7</v>
      </c>
      <c r="L328" s="106"/>
      <c r="M328" s="91"/>
      <c r="N328" s="94"/>
    </row>
    <row r="329" spans="1:14" x14ac:dyDescent="0.45">
      <c r="A329" s="98"/>
      <c r="B329" s="101"/>
      <c r="C329" s="30" t="str">
        <f>"SLSC-AL3011-1/AO " &amp; D329</f>
        <v>SLSC-AL3011-1/AO 41</v>
      </c>
      <c r="D329" s="30">
        <f t="shared" si="163"/>
        <v>41</v>
      </c>
      <c r="E329" s="56" t="str">
        <f t="shared" si="164"/>
        <v>Resistance 10 Ω - 8 MΩ</v>
      </c>
      <c r="F329" s="30" t="str">
        <f t="shared" si="165"/>
        <v>TBD</v>
      </c>
      <c r="G329" s="30" t="str">
        <f t="shared" si="162"/>
        <v>None</v>
      </c>
      <c r="H329" s="41" t="s">
        <v>28</v>
      </c>
      <c r="I329" s="60" t="str">
        <f>"IO" &amp; A328</f>
        <v>IO58</v>
      </c>
      <c r="J329" s="104"/>
      <c r="K329" s="104"/>
      <c r="L329" s="107"/>
      <c r="M329" s="92"/>
      <c r="N329" s="95"/>
    </row>
    <row r="330" spans="1:14" x14ac:dyDescent="0.45">
      <c r="A330" s="98"/>
      <c r="B330" s="101"/>
      <c r="C330" s="30" t="str">
        <f>"PXI 10-100-001/SPDT" &amp; D330</f>
        <v>PXI 10-100-001/SPDT76</v>
      </c>
      <c r="D330" s="30">
        <f t="shared" si="163"/>
        <v>76</v>
      </c>
      <c r="E330" s="30" t="str">
        <f t="shared" si="164"/>
        <v>DO (SPDT)</v>
      </c>
      <c r="F330" s="30" t="str">
        <f t="shared" si="165"/>
        <v>Select_AOR</v>
      </c>
      <c r="G330" s="30" t="str">
        <f t="shared" si="162"/>
        <v>ATE/IO58/Select_AOR</v>
      </c>
      <c r="H330" s="41" t="str">
        <f>Paths!$B$12 &amp; D330</f>
        <v>Targets/Controller/Custom Devices/PickeringSwitching/Subunit1/Switch1_76</v>
      </c>
      <c r="I330" s="60" t="str">
        <f>"IO" &amp; A328</f>
        <v>IO58</v>
      </c>
      <c r="J330" s="104"/>
      <c r="K330" s="104"/>
      <c r="L330" s="107"/>
      <c r="M330" s="92"/>
      <c r="N330" s="95"/>
    </row>
    <row r="331" spans="1:14" ht="14.65" thickBot="1" x14ac:dyDescent="0.5">
      <c r="A331" s="99"/>
      <c r="B331" s="102"/>
      <c r="C331" s="31" t="str">
        <f>"PXI-2510-1/dut" &amp; D331</f>
        <v>PXI-2510-1/dut57</v>
      </c>
      <c r="D331" s="31">
        <f t="shared" si="163"/>
        <v>57</v>
      </c>
      <c r="E331" s="31" t="str">
        <f t="shared" si="164"/>
        <v>FIU</v>
      </c>
      <c r="F331" s="31" t="str">
        <f t="shared" si="165"/>
        <v>TBD</v>
      </c>
      <c r="G331" s="31" t="str">
        <f t="shared" si="162"/>
        <v>None</v>
      </c>
      <c r="H331" s="42" t="s">
        <v>28</v>
      </c>
      <c r="I331" s="61" t="str">
        <f>"IO" &amp; A328</f>
        <v>IO58</v>
      </c>
      <c r="J331" s="105"/>
      <c r="K331" s="105"/>
      <c r="L331" s="108"/>
      <c r="M331" s="93"/>
      <c r="N331" s="96"/>
    </row>
    <row r="332" spans="1:14" ht="28.5" x14ac:dyDescent="0.45">
      <c r="A332" s="97">
        <f>A328+1</f>
        <v>59</v>
      </c>
      <c r="B332" s="100" t="str">
        <f>B328</f>
        <v>AO
AO U: 0-16 V
AO I: 0-20 mA
AO R: 10 Ω - 8 MΩ</v>
      </c>
      <c r="C332" s="29" t="str">
        <f>"PXIe-4322-4/AO" &amp; D332</f>
        <v>PXIe-4322-4/AO2</v>
      </c>
      <c r="D332" s="29">
        <f t="shared" si="163"/>
        <v>2</v>
      </c>
      <c r="E332" s="55" t="str">
        <f t="shared" si="164"/>
        <v>Voltage out 0-16 V /
Current out 0-20 mA</v>
      </c>
      <c r="F332" s="29" t="str">
        <f t="shared" si="165"/>
        <v>AO</v>
      </c>
      <c r="G332" s="29" t="str">
        <f t="shared" si="162"/>
        <v>ATE/IO59/AO</v>
      </c>
      <c r="H332" s="39" t="str">
        <f>Paths!$B$25 &amp; D332</f>
        <v>Targets/Controller/Hardware/Chassis/DAQ/PXI1Slot14/Analog Output/AO2</v>
      </c>
      <c r="I332" s="32" t="str">
        <f>"IO" &amp; A332</f>
        <v>IO59</v>
      </c>
      <c r="J332" s="103" t="s">
        <v>6</v>
      </c>
      <c r="K332" s="103" t="s">
        <v>7</v>
      </c>
      <c r="L332" s="106"/>
      <c r="M332" s="91"/>
      <c r="N332" s="94"/>
    </row>
    <row r="333" spans="1:14" x14ac:dyDescent="0.45">
      <c r="A333" s="98"/>
      <c r="B333" s="101"/>
      <c r="C333" s="30" t="str">
        <f>"SLSC-AL3011-1/AO " &amp; D333</f>
        <v>SLSC-AL3011-1/AO 42</v>
      </c>
      <c r="D333" s="30">
        <f t="shared" si="163"/>
        <v>42</v>
      </c>
      <c r="E333" s="56" t="str">
        <f t="shared" si="164"/>
        <v>Resistance 10 Ω - 8 MΩ</v>
      </c>
      <c r="F333" s="30" t="str">
        <f t="shared" si="165"/>
        <v>TBD</v>
      </c>
      <c r="G333" s="30" t="str">
        <f t="shared" si="162"/>
        <v>None</v>
      </c>
      <c r="H333" s="41" t="s">
        <v>28</v>
      </c>
      <c r="I333" s="60" t="str">
        <f>"IO" &amp; A332</f>
        <v>IO59</v>
      </c>
      <c r="J333" s="104"/>
      <c r="K333" s="104"/>
      <c r="L333" s="107"/>
      <c r="M333" s="92"/>
      <c r="N333" s="95"/>
    </row>
    <row r="334" spans="1:14" x14ac:dyDescent="0.45">
      <c r="A334" s="98"/>
      <c r="B334" s="101"/>
      <c r="C334" s="30" t="str">
        <f>"PXI 10-100-001/SPDT" &amp; D334</f>
        <v>PXI 10-100-001/SPDT77</v>
      </c>
      <c r="D334" s="30">
        <f t="shared" si="163"/>
        <v>77</v>
      </c>
      <c r="E334" s="30" t="str">
        <f t="shared" si="164"/>
        <v>DO (SPDT)</v>
      </c>
      <c r="F334" s="30" t="str">
        <f t="shared" si="165"/>
        <v>Select_AOR</v>
      </c>
      <c r="G334" s="30" t="str">
        <f t="shared" si="162"/>
        <v>ATE/IO59/Select_AOR</v>
      </c>
      <c r="H334" s="41" t="str">
        <f>Paths!$B$12 &amp; D334</f>
        <v>Targets/Controller/Custom Devices/PickeringSwitching/Subunit1/Switch1_77</v>
      </c>
      <c r="I334" s="60" t="str">
        <f>"IO" &amp; A332</f>
        <v>IO59</v>
      </c>
      <c r="J334" s="104"/>
      <c r="K334" s="104"/>
      <c r="L334" s="107"/>
      <c r="M334" s="92"/>
      <c r="N334" s="95"/>
    </row>
    <row r="335" spans="1:14" ht="14.65" thickBot="1" x14ac:dyDescent="0.5">
      <c r="A335" s="99"/>
      <c r="B335" s="102"/>
      <c r="C335" s="31" t="str">
        <f>"PXI-2510-1/dut" &amp; D335</f>
        <v>PXI-2510-1/dut58</v>
      </c>
      <c r="D335" s="31">
        <f t="shared" si="163"/>
        <v>58</v>
      </c>
      <c r="E335" s="31" t="str">
        <f t="shared" si="164"/>
        <v>FIU</v>
      </c>
      <c r="F335" s="31" t="str">
        <f t="shared" si="165"/>
        <v>TBD</v>
      </c>
      <c r="G335" s="31" t="str">
        <f t="shared" si="162"/>
        <v>None</v>
      </c>
      <c r="H335" s="42" t="s">
        <v>28</v>
      </c>
      <c r="I335" s="61" t="str">
        <f>"IO" &amp; A332</f>
        <v>IO59</v>
      </c>
      <c r="J335" s="105"/>
      <c r="K335" s="105"/>
      <c r="L335" s="108"/>
      <c r="M335" s="93"/>
      <c r="N335" s="96"/>
    </row>
    <row r="336" spans="1:14" ht="28.5" x14ac:dyDescent="0.45">
      <c r="A336" s="97">
        <f>A332+1</f>
        <v>60</v>
      </c>
      <c r="B336" s="100" t="str">
        <f>B332</f>
        <v>AO
AO U: 0-16 V
AO I: 0-20 mA
AO R: 10 Ω - 8 MΩ</v>
      </c>
      <c r="C336" s="29" t="str">
        <f>"PXIe-4322-4/AO" &amp; D336</f>
        <v>PXIe-4322-4/AO3</v>
      </c>
      <c r="D336" s="29">
        <f t="shared" si="163"/>
        <v>3</v>
      </c>
      <c r="E336" s="55" t="str">
        <f t="shared" si="164"/>
        <v>Voltage out 0-16 V /
Current out 0-20 mA</v>
      </c>
      <c r="F336" s="29" t="str">
        <f t="shared" si="165"/>
        <v>AO</v>
      </c>
      <c r="G336" s="29" t="str">
        <f t="shared" si="162"/>
        <v>ATE/IO60/AO</v>
      </c>
      <c r="H336" s="39" t="str">
        <f>Paths!$B$25 &amp; D336</f>
        <v>Targets/Controller/Hardware/Chassis/DAQ/PXI1Slot14/Analog Output/AO3</v>
      </c>
      <c r="I336" s="32" t="str">
        <f>"IO" &amp; A336</f>
        <v>IO60</v>
      </c>
      <c r="J336" s="103" t="s">
        <v>6</v>
      </c>
      <c r="K336" s="103" t="s">
        <v>7</v>
      </c>
      <c r="L336" s="106"/>
      <c r="M336" s="91"/>
      <c r="N336" s="94"/>
    </row>
    <row r="337" spans="1:14" x14ac:dyDescent="0.45">
      <c r="A337" s="98"/>
      <c r="B337" s="101"/>
      <c r="C337" s="30" t="str">
        <f>"SLSC-AL3011-1/AO " &amp; D337</f>
        <v>SLSC-AL3011-1/AO 43</v>
      </c>
      <c r="D337" s="30">
        <f t="shared" si="163"/>
        <v>43</v>
      </c>
      <c r="E337" s="56" t="str">
        <f t="shared" si="164"/>
        <v>Resistance 10 Ω - 8 MΩ</v>
      </c>
      <c r="F337" s="30" t="str">
        <f t="shared" si="165"/>
        <v>TBD</v>
      </c>
      <c r="G337" s="30" t="str">
        <f t="shared" si="162"/>
        <v>None</v>
      </c>
      <c r="H337" s="41" t="s">
        <v>28</v>
      </c>
      <c r="I337" s="60" t="str">
        <f>"IO" &amp; A336</f>
        <v>IO60</v>
      </c>
      <c r="J337" s="104"/>
      <c r="K337" s="104"/>
      <c r="L337" s="107"/>
      <c r="M337" s="92"/>
      <c r="N337" s="95"/>
    </row>
    <row r="338" spans="1:14" x14ac:dyDescent="0.45">
      <c r="A338" s="98"/>
      <c r="B338" s="101"/>
      <c r="C338" s="30" t="str">
        <f>"PXI 10-100-001/SPDT" &amp; D338</f>
        <v>PXI 10-100-001/SPDT78</v>
      </c>
      <c r="D338" s="30">
        <f t="shared" si="163"/>
        <v>78</v>
      </c>
      <c r="E338" s="30" t="str">
        <f t="shared" si="164"/>
        <v>DO (SPDT)</v>
      </c>
      <c r="F338" s="30" t="str">
        <f t="shared" si="165"/>
        <v>Select_AOR</v>
      </c>
      <c r="G338" s="30" t="str">
        <f t="shared" si="162"/>
        <v>ATE/IO60/Select_AOR</v>
      </c>
      <c r="H338" s="41" t="str">
        <f>Paths!$B$12 &amp; D338</f>
        <v>Targets/Controller/Custom Devices/PickeringSwitching/Subunit1/Switch1_78</v>
      </c>
      <c r="I338" s="60" t="str">
        <f>"IO" &amp; A336</f>
        <v>IO60</v>
      </c>
      <c r="J338" s="104"/>
      <c r="K338" s="104"/>
      <c r="L338" s="107"/>
      <c r="M338" s="92"/>
      <c r="N338" s="95"/>
    </row>
    <row r="339" spans="1:14" ht="14.65" thickBot="1" x14ac:dyDescent="0.5">
      <c r="A339" s="99"/>
      <c r="B339" s="102"/>
      <c r="C339" s="31" t="str">
        <f>"PXI-2510-1/dut" &amp; D339</f>
        <v>PXI-2510-1/dut59</v>
      </c>
      <c r="D339" s="31">
        <f t="shared" si="163"/>
        <v>59</v>
      </c>
      <c r="E339" s="31" t="str">
        <f t="shared" si="164"/>
        <v>FIU</v>
      </c>
      <c r="F339" s="31" t="str">
        <f t="shared" si="165"/>
        <v>TBD</v>
      </c>
      <c r="G339" s="31" t="str">
        <f t="shared" si="162"/>
        <v>None</v>
      </c>
      <c r="H339" s="42" t="s">
        <v>28</v>
      </c>
      <c r="I339" s="61" t="str">
        <f>"IO" &amp; A336</f>
        <v>IO60</v>
      </c>
      <c r="J339" s="105"/>
      <c r="K339" s="105"/>
      <c r="L339" s="108"/>
      <c r="M339" s="93"/>
      <c r="N339" s="96"/>
    </row>
    <row r="340" spans="1:14" ht="28.5" x14ac:dyDescent="0.45">
      <c r="A340" s="97">
        <f>A336+1</f>
        <v>61</v>
      </c>
      <c r="B340" s="100" t="str">
        <f>B336</f>
        <v>AO
AO U: 0-16 V
AO I: 0-20 mA
AO R: 10 Ω - 8 MΩ</v>
      </c>
      <c r="C340" s="29" t="str">
        <f>"PXIe-4322-4/AO" &amp; D340</f>
        <v>PXIe-4322-4/AO4</v>
      </c>
      <c r="D340" s="29">
        <f t="shared" si="163"/>
        <v>4</v>
      </c>
      <c r="E340" s="55" t="str">
        <f t="shared" si="164"/>
        <v>Voltage out 0-16 V /
Current out 0-20 mA</v>
      </c>
      <c r="F340" s="29" t="str">
        <f t="shared" si="165"/>
        <v>AO</v>
      </c>
      <c r="G340" s="29" t="str">
        <f t="shared" si="162"/>
        <v>ATE/IO61/AO</v>
      </c>
      <c r="H340" s="39" t="str">
        <f>Paths!$B$25 &amp; D340</f>
        <v>Targets/Controller/Hardware/Chassis/DAQ/PXI1Slot14/Analog Output/AO4</v>
      </c>
      <c r="I340" s="32" t="str">
        <f>"IO" &amp; A340</f>
        <v>IO61</v>
      </c>
      <c r="J340" s="103" t="s">
        <v>6</v>
      </c>
      <c r="K340" s="103" t="s">
        <v>7</v>
      </c>
      <c r="L340" s="106"/>
      <c r="M340" s="91"/>
      <c r="N340" s="94"/>
    </row>
    <row r="341" spans="1:14" x14ac:dyDescent="0.45">
      <c r="A341" s="98"/>
      <c r="B341" s="101"/>
      <c r="C341" s="30" t="str">
        <f>"SLSC-AL3011-1/AO " &amp; D341</f>
        <v>SLSC-AL3011-1/AO 44</v>
      </c>
      <c r="D341" s="30">
        <f t="shared" si="163"/>
        <v>44</v>
      </c>
      <c r="E341" s="56" t="str">
        <f t="shared" si="164"/>
        <v>Resistance 10 Ω - 8 MΩ</v>
      </c>
      <c r="F341" s="30" t="str">
        <f t="shared" si="165"/>
        <v>TBD</v>
      </c>
      <c r="G341" s="30" t="str">
        <f t="shared" si="162"/>
        <v>None</v>
      </c>
      <c r="H341" s="41" t="s">
        <v>28</v>
      </c>
      <c r="I341" s="60" t="str">
        <f>"IO" &amp; A340</f>
        <v>IO61</v>
      </c>
      <c r="J341" s="104"/>
      <c r="K341" s="104"/>
      <c r="L341" s="107"/>
      <c r="M341" s="92"/>
      <c r="N341" s="95"/>
    </row>
    <row r="342" spans="1:14" x14ac:dyDescent="0.45">
      <c r="A342" s="98"/>
      <c r="B342" s="101"/>
      <c r="C342" s="30" t="str">
        <f>"PXI 10-100-001/SPDT" &amp; D342</f>
        <v>PXI 10-100-001/SPDT79</v>
      </c>
      <c r="D342" s="30">
        <f t="shared" si="163"/>
        <v>79</v>
      </c>
      <c r="E342" s="30" t="str">
        <f t="shared" si="164"/>
        <v>DO (SPDT)</v>
      </c>
      <c r="F342" s="30" t="str">
        <f t="shared" si="165"/>
        <v>Select_AOR</v>
      </c>
      <c r="G342" s="30" t="str">
        <f t="shared" si="162"/>
        <v>ATE/IO61/Select_AOR</v>
      </c>
      <c r="H342" s="41" t="str">
        <f>Paths!$B$12 &amp; D342</f>
        <v>Targets/Controller/Custom Devices/PickeringSwitching/Subunit1/Switch1_79</v>
      </c>
      <c r="I342" s="60" t="str">
        <f>"IO" &amp; A340</f>
        <v>IO61</v>
      </c>
      <c r="J342" s="104"/>
      <c r="K342" s="104"/>
      <c r="L342" s="107"/>
      <c r="M342" s="92"/>
      <c r="N342" s="95"/>
    </row>
    <row r="343" spans="1:14" ht="14.65" thickBot="1" x14ac:dyDescent="0.5">
      <c r="A343" s="99"/>
      <c r="B343" s="102"/>
      <c r="C343" s="31" t="str">
        <f>"PXI-2510-1/dut" &amp; D343</f>
        <v>PXI-2510-1/dut60</v>
      </c>
      <c r="D343" s="31">
        <f t="shared" si="163"/>
        <v>60</v>
      </c>
      <c r="E343" s="31" t="str">
        <f t="shared" si="164"/>
        <v>FIU</v>
      </c>
      <c r="F343" s="31" t="str">
        <f t="shared" si="165"/>
        <v>TBD</v>
      </c>
      <c r="G343" s="31" t="str">
        <f t="shared" si="162"/>
        <v>None</v>
      </c>
      <c r="H343" s="42" t="s">
        <v>28</v>
      </c>
      <c r="I343" s="61" t="str">
        <f>"IO" &amp; A340</f>
        <v>IO61</v>
      </c>
      <c r="J343" s="105"/>
      <c r="K343" s="105"/>
      <c r="L343" s="108"/>
      <c r="M343" s="93"/>
      <c r="N343" s="96"/>
    </row>
    <row r="344" spans="1:14" ht="28.5" x14ac:dyDescent="0.45">
      <c r="A344" s="97">
        <f>A340+1</f>
        <v>62</v>
      </c>
      <c r="B344" s="100" t="str">
        <f>B340</f>
        <v>AO
AO U: 0-16 V
AO I: 0-20 mA
AO R: 10 Ω - 8 MΩ</v>
      </c>
      <c r="C344" s="29" t="str">
        <f>"PXIe-4322-4/AO" &amp; D344</f>
        <v>PXIe-4322-4/AO5</v>
      </c>
      <c r="D344" s="29">
        <f t="shared" si="163"/>
        <v>5</v>
      </c>
      <c r="E344" s="55" t="str">
        <f t="shared" si="164"/>
        <v>Voltage out 0-16 V /
Current out 0-20 mA</v>
      </c>
      <c r="F344" s="29" t="str">
        <f t="shared" si="165"/>
        <v>AO</v>
      </c>
      <c r="G344" s="29" t="str">
        <f t="shared" si="162"/>
        <v>ATE/IO62/AO</v>
      </c>
      <c r="H344" s="39" t="str">
        <f>Paths!$B$25 &amp; D344</f>
        <v>Targets/Controller/Hardware/Chassis/DAQ/PXI1Slot14/Analog Output/AO5</v>
      </c>
      <c r="I344" s="32" t="str">
        <f>"IO" &amp; A344</f>
        <v>IO62</v>
      </c>
      <c r="J344" s="103" t="s">
        <v>6</v>
      </c>
      <c r="K344" s="103" t="s">
        <v>7</v>
      </c>
      <c r="L344" s="106"/>
      <c r="M344" s="91"/>
      <c r="N344" s="94"/>
    </row>
    <row r="345" spans="1:14" x14ac:dyDescent="0.45">
      <c r="A345" s="98"/>
      <c r="B345" s="101"/>
      <c r="C345" s="30" t="str">
        <f>"SLSC-AL3011-1/AO " &amp; D345</f>
        <v>SLSC-AL3011-1/AO 45</v>
      </c>
      <c r="D345" s="30">
        <f t="shared" si="163"/>
        <v>45</v>
      </c>
      <c r="E345" s="56" t="str">
        <f t="shared" si="164"/>
        <v>Resistance 10 Ω - 8 MΩ</v>
      </c>
      <c r="F345" s="30" t="str">
        <f t="shared" si="165"/>
        <v>TBD</v>
      </c>
      <c r="G345" s="30" t="str">
        <f t="shared" si="162"/>
        <v>None</v>
      </c>
      <c r="H345" s="41" t="s">
        <v>28</v>
      </c>
      <c r="I345" s="60" t="str">
        <f>"IO" &amp; A344</f>
        <v>IO62</v>
      </c>
      <c r="J345" s="104"/>
      <c r="K345" s="104"/>
      <c r="L345" s="107"/>
      <c r="M345" s="92"/>
      <c r="N345" s="95"/>
    </row>
    <row r="346" spans="1:14" x14ac:dyDescent="0.45">
      <c r="A346" s="98"/>
      <c r="B346" s="101"/>
      <c r="C346" s="30" t="str">
        <f>"PXI 10-100-001/SPDT" &amp; D346</f>
        <v>PXI 10-100-001/SPDT80</v>
      </c>
      <c r="D346" s="30">
        <f t="shared" si="163"/>
        <v>80</v>
      </c>
      <c r="E346" s="30" t="str">
        <f t="shared" si="164"/>
        <v>DO (SPDT)</v>
      </c>
      <c r="F346" s="30" t="str">
        <f t="shared" si="165"/>
        <v>Select_AOR</v>
      </c>
      <c r="G346" s="30" t="str">
        <f t="shared" si="162"/>
        <v>ATE/IO62/Select_AOR</v>
      </c>
      <c r="H346" s="41" t="str">
        <f>Paths!$B$12 &amp; D346</f>
        <v>Targets/Controller/Custom Devices/PickeringSwitching/Subunit1/Switch1_80</v>
      </c>
      <c r="I346" s="60" t="str">
        <f>"IO" &amp; A344</f>
        <v>IO62</v>
      </c>
      <c r="J346" s="104"/>
      <c r="K346" s="104"/>
      <c r="L346" s="107"/>
      <c r="M346" s="92"/>
      <c r="N346" s="95"/>
    </row>
    <row r="347" spans="1:14" ht="14.65" thickBot="1" x14ac:dyDescent="0.5">
      <c r="A347" s="99"/>
      <c r="B347" s="102"/>
      <c r="C347" s="31" t="str">
        <f>"PXI-2510-1/dut" &amp; D347</f>
        <v>PXI-2510-1/dut61</v>
      </c>
      <c r="D347" s="31">
        <f t="shared" si="163"/>
        <v>61</v>
      </c>
      <c r="E347" s="31" t="str">
        <f t="shared" si="164"/>
        <v>FIU</v>
      </c>
      <c r="F347" s="31" t="str">
        <f t="shared" si="165"/>
        <v>TBD</v>
      </c>
      <c r="G347" s="31" t="str">
        <f t="shared" si="162"/>
        <v>None</v>
      </c>
      <c r="H347" s="42" t="s">
        <v>28</v>
      </c>
      <c r="I347" s="61" t="str">
        <f>"IO" &amp; A344</f>
        <v>IO62</v>
      </c>
      <c r="J347" s="105"/>
      <c r="K347" s="105"/>
      <c r="L347" s="108"/>
      <c r="M347" s="93"/>
      <c r="N347" s="96"/>
    </row>
    <row r="348" spans="1:14" ht="28.5" x14ac:dyDescent="0.45">
      <c r="A348" s="97">
        <f>A344+1</f>
        <v>63</v>
      </c>
      <c r="B348" s="100" t="str">
        <f>B344</f>
        <v>AO
AO U: 0-16 V
AO I: 0-20 mA
AO R: 10 Ω - 8 MΩ</v>
      </c>
      <c r="C348" s="29" t="str">
        <f>"PXIe-4322-4/AO" &amp; D348</f>
        <v>PXIe-4322-4/AO6</v>
      </c>
      <c r="D348" s="29">
        <f t="shared" si="163"/>
        <v>6</v>
      </c>
      <c r="E348" s="55" t="str">
        <f t="shared" si="164"/>
        <v>Voltage out 0-16 V /
Current out 0-20 mA</v>
      </c>
      <c r="F348" s="29" t="str">
        <f t="shared" si="165"/>
        <v>AO</v>
      </c>
      <c r="G348" s="29" t="str">
        <f t="shared" si="162"/>
        <v>ATE/IO63/AO</v>
      </c>
      <c r="H348" s="39" t="str">
        <f>Paths!$B$25 &amp; D348</f>
        <v>Targets/Controller/Hardware/Chassis/DAQ/PXI1Slot14/Analog Output/AO6</v>
      </c>
      <c r="I348" s="32" t="str">
        <f>"IO" &amp; A348</f>
        <v>IO63</v>
      </c>
      <c r="J348" s="103" t="s">
        <v>6</v>
      </c>
      <c r="K348" s="103" t="s">
        <v>7</v>
      </c>
      <c r="L348" s="106"/>
      <c r="M348" s="91"/>
      <c r="N348" s="94"/>
    </row>
    <row r="349" spans="1:14" x14ac:dyDescent="0.45">
      <c r="A349" s="98"/>
      <c r="B349" s="101"/>
      <c r="C349" s="30" t="str">
        <f>"SLSC-AL3011-1/AO " &amp; D349</f>
        <v>SLSC-AL3011-1/AO 46</v>
      </c>
      <c r="D349" s="30">
        <f t="shared" si="163"/>
        <v>46</v>
      </c>
      <c r="E349" s="56" t="str">
        <f t="shared" si="164"/>
        <v>Resistance 10 Ω - 8 MΩ</v>
      </c>
      <c r="F349" s="30" t="str">
        <f t="shared" si="165"/>
        <v>TBD</v>
      </c>
      <c r="G349" s="30" t="str">
        <f t="shared" si="162"/>
        <v>None</v>
      </c>
      <c r="H349" s="41" t="s">
        <v>28</v>
      </c>
      <c r="I349" s="60" t="str">
        <f>"IO" &amp; A348</f>
        <v>IO63</v>
      </c>
      <c r="J349" s="104"/>
      <c r="K349" s="104"/>
      <c r="L349" s="107"/>
      <c r="M349" s="92"/>
      <c r="N349" s="95"/>
    </row>
    <row r="350" spans="1:14" x14ac:dyDescent="0.45">
      <c r="A350" s="98"/>
      <c r="B350" s="101"/>
      <c r="C350" s="30" t="str">
        <f>"PXI 10-100-001/SPDT" &amp; D350</f>
        <v>PXI 10-100-001/SPDT81</v>
      </c>
      <c r="D350" s="30">
        <f t="shared" si="163"/>
        <v>81</v>
      </c>
      <c r="E350" s="30" t="str">
        <f t="shared" si="164"/>
        <v>DO (SPDT)</v>
      </c>
      <c r="F350" s="30" t="str">
        <f t="shared" si="165"/>
        <v>Select_AOR</v>
      </c>
      <c r="G350" s="30" t="str">
        <f t="shared" si="162"/>
        <v>ATE/IO63/Select_AOR</v>
      </c>
      <c r="H350" s="41" t="str">
        <f>Paths!$B$12 &amp; D350</f>
        <v>Targets/Controller/Custom Devices/PickeringSwitching/Subunit1/Switch1_81</v>
      </c>
      <c r="I350" s="60" t="str">
        <f>"IO" &amp; A348</f>
        <v>IO63</v>
      </c>
      <c r="J350" s="104"/>
      <c r="K350" s="104"/>
      <c r="L350" s="107"/>
      <c r="M350" s="92"/>
      <c r="N350" s="95"/>
    </row>
    <row r="351" spans="1:14" ht="14.65" thickBot="1" x14ac:dyDescent="0.5">
      <c r="A351" s="99"/>
      <c r="B351" s="102"/>
      <c r="C351" s="31" t="str">
        <f>"PXI-2510-1/dut" &amp; D351</f>
        <v>PXI-2510-1/dut62</v>
      </c>
      <c r="D351" s="31">
        <f t="shared" si="163"/>
        <v>62</v>
      </c>
      <c r="E351" s="31" t="str">
        <f t="shared" si="164"/>
        <v>FIU</v>
      </c>
      <c r="F351" s="31" t="str">
        <f t="shared" si="165"/>
        <v>TBD</v>
      </c>
      <c r="G351" s="31" t="str">
        <f t="shared" si="162"/>
        <v>None</v>
      </c>
      <c r="H351" s="42" t="s">
        <v>28</v>
      </c>
      <c r="I351" s="61" t="str">
        <f>"IO" &amp; A348</f>
        <v>IO63</v>
      </c>
      <c r="J351" s="105"/>
      <c r="K351" s="105"/>
      <c r="L351" s="108"/>
      <c r="M351" s="93"/>
      <c r="N351" s="96"/>
    </row>
    <row r="352" spans="1:14" ht="28.5" x14ac:dyDescent="0.45">
      <c r="A352" s="97">
        <f>A348+1</f>
        <v>64</v>
      </c>
      <c r="B352" s="100" t="str">
        <f>B348</f>
        <v>AO
AO U: 0-16 V
AO I: 0-20 mA
AO R: 10 Ω - 8 MΩ</v>
      </c>
      <c r="C352" s="29" t="str">
        <f>"PXIe-4322-4/AO" &amp; D352</f>
        <v>PXIe-4322-4/AO7</v>
      </c>
      <c r="D352" s="29">
        <f t="shared" si="163"/>
        <v>7</v>
      </c>
      <c r="E352" s="55" t="str">
        <f t="shared" si="164"/>
        <v>Voltage out 0-16 V /
Current out 0-20 mA</v>
      </c>
      <c r="F352" s="29" t="str">
        <f t="shared" si="165"/>
        <v>AO</v>
      </c>
      <c r="G352" s="29" t="str">
        <f t="shared" si="162"/>
        <v>ATE/IO64/AO</v>
      </c>
      <c r="H352" s="39" t="str">
        <f>Paths!$B$25 &amp; D352</f>
        <v>Targets/Controller/Hardware/Chassis/DAQ/PXI1Slot14/Analog Output/AO7</v>
      </c>
      <c r="I352" s="32" t="str">
        <f>"IO" &amp; A352</f>
        <v>IO64</v>
      </c>
      <c r="J352" s="103" t="s">
        <v>6</v>
      </c>
      <c r="K352" s="103" t="s">
        <v>7</v>
      </c>
      <c r="L352" s="106"/>
      <c r="M352" s="91"/>
      <c r="N352" s="94"/>
    </row>
    <row r="353" spans="1:14" x14ac:dyDescent="0.45">
      <c r="A353" s="98"/>
      <c r="B353" s="101"/>
      <c r="C353" s="30" t="str">
        <f>"SLSC-AL3011-1/AO " &amp; D353</f>
        <v>SLSC-AL3011-1/AO 47</v>
      </c>
      <c r="D353" s="30">
        <f t="shared" si="163"/>
        <v>47</v>
      </c>
      <c r="E353" s="56" t="str">
        <f t="shared" si="164"/>
        <v>Resistance 10 Ω - 8 MΩ</v>
      </c>
      <c r="F353" s="30" t="str">
        <f t="shared" si="165"/>
        <v>TBD</v>
      </c>
      <c r="G353" s="30" t="str">
        <f t="shared" si="162"/>
        <v>None</v>
      </c>
      <c r="H353" s="41" t="s">
        <v>28</v>
      </c>
      <c r="I353" s="60" t="str">
        <f>"IO" &amp; A352</f>
        <v>IO64</v>
      </c>
      <c r="J353" s="104"/>
      <c r="K353" s="104"/>
      <c r="L353" s="107"/>
      <c r="M353" s="92"/>
      <c r="N353" s="95"/>
    </row>
    <row r="354" spans="1:14" x14ac:dyDescent="0.45">
      <c r="A354" s="98"/>
      <c r="B354" s="101"/>
      <c r="C354" s="30" t="str">
        <f>"PXI 10-100-001/SPDT" &amp; D354</f>
        <v>PXI 10-100-001/SPDT82</v>
      </c>
      <c r="D354" s="30">
        <f t="shared" si="163"/>
        <v>82</v>
      </c>
      <c r="E354" s="30" t="str">
        <f t="shared" si="164"/>
        <v>DO (SPDT)</v>
      </c>
      <c r="F354" s="30" t="str">
        <f t="shared" si="165"/>
        <v>Select_AOR</v>
      </c>
      <c r="G354" s="30" t="str">
        <f t="shared" si="162"/>
        <v>ATE/IO64/Select_AOR</v>
      </c>
      <c r="H354" s="41" t="str">
        <f>Paths!$B$12 &amp; D354</f>
        <v>Targets/Controller/Custom Devices/PickeringSwitching/Subunit1/Switch1_82</v>
      </c>
      <c r="I354" s="60" t="str">
        <f>"IO" &amp; A352</f>
        <v>IO64</v>
      </c>
      <c r="J354" s="104"/>
      <c r="K354" s="104"/>
      <c r="L354" s="107"/>
      <c r="M354" s="92"/>
      <c r="N354" s="95"/>
    </row>
    <row r="355" spans="1:14" ht="14.65" thickBot="1" x14ac:dyDescent="0.5">
      <c r="A355" s="99"/>
      <c r="B355" s="102"/>
      <c r="C355" s="31" t="str">
        <f>"PXI-2510-1/dut" &amp; D355</f>
        <v>PXI-2510-1/dut63</v>
      </c>
      <c r="D355" s="31">
        <f t="shared" si="163"/>
        <v>63</v>
      </c>
      <c r="E355" s="31" t="str">
        <f t="shared" si="164"/>
        <v>FIU</v>
      </c>
      <c r="F355" s="31" t="str">
        <f t="shared" si="165"/>
        <v>TBD</v>
      </c>
      <c r="G355" s="31" t="str">
        <f t="shared" si="162"/>
        <v>None</v>
      </c>
      <c r="H355" s="42" t="s">
        <v>28</v>
      </c>
      <c r="I355" s="61" t="str">
        <f>"IO" &amp; A352</f>
        <v>IO64</v>
      </c>
      <c r="J355" s="105"/>
      <c r="K355" s="105"/>
      <c r="L355" s="108"/>
      <c r="M355" s="93"/>
      <c r="N355" s="96"/>
    </row>
    <row r="356" spans="1:14" ht="70.5" customHeight="1" thickBot="1" x14ac:dyDescent="0.5">
      <c r="A356" s="43"/>
      <c r="B356" s="57"/>
      <c r="C356" s="43"/>
      <c r="D356" s="43"/>
      <c r="E356" s="43"/>
      <c r="F356" s="43"/>
      <c r="G356" s="43"/>
      <c r="H356" s="43"/>
      <c r="I356" s="43"/>
      <c r="J356" s="1"/>
      <c r="K356" s="1"/>
      <c r="L356" s="1"/>
      <c r="M356" s="1"/>
      <c r="N356" s="1"/>
    </row>
    <row r="357" spans="1:14" ht="15" customHeight="1" x14ac:dyDescent="0.45">
      <c r="A357" s="137">
        <f>A352+1</f>
        <v>65</v>
      </c>
      <c r="B357" s="155" t="s">
        <v>53</v>
      </c>
      <c r="C357" s="29" t="str">
        <f>"PXIe-7820R/DIO" &amp; D357</f>
        <v>PXIe-7820R/DIO32</v>
      </c>
      <c r="D357" s="44">
        <v>32</v>
      </c>
      <c r="E357" s="54" t="s">
        <v>38</v>
      </c>
      <c r="F357" s="54" t="s">
        <v>114</v>
      </c>
      <c r="G357" s="35" t="str">
        <f>IF(OR(F357="None",F357="TBD"),"None",_xlfn.CONCAT("ATE/",I357,"/",F357))</f>
        <v>ATE/IO65/PWM_FR</v>
      </c>
      <c r="H357" s="83" t="str">
        <f>Paths!$B$2 &amp; I357 &amp; Paths!$B$6</f>
        <v>Targets/Controller/Custom Devices/FPGA Addon/Scalars/Scalar Outputs/PWM.Out.IO65/FREQ</v>
      </c>
      <c r="I357" s="82" t="str">
        <f>"IO" &amp; A357</f>
        <v>IO65</v>
      </c>
      <c r="J357" s="141" t="s">
        <v>6</v>
      </c>
      <c r="K357" s="144" t="s">
        <v>7</v>
      </c>
      <c r="L357" s="128"/>
      <c r="M357" s="131"/>
      <c r="N357" s="134"/>
    </row>
    <row r="358" spans="1:14" x14ac:dyDescent="0.45">
      <c r="A358" s="138"/>
      <c r="B358" s="151"/>
      <c r="C358" s="30" t="str">
        <f>"PXIe-7820R/DIO" &amp; D358</f>
        <v>PXIe-7820R/DIO32</v>
      </c>
      <c r="D358" s="45">
        <v>32</v>
      </c>
      <c r="E358" s="45" t="s">
        <v>38</v>
      </c>
      <c r="F358" s="45" t="s">
        <v>115</v>
      </c>
      <c r="G358" s="37" t="str">
        <f t="shared" ref="G358:G388" si="166">IF(OR(F358="None",F358="TBD"),"None",_xlfn.CONCAT("ATE/",I358,"/",F358))</f>
        <v>ATE/IO65/PWM_DC</v>
      </c>
      <c r="H358" s="84" t="str">
        <f>Paths!$B$2 &amp; I358 &amp; Paths!$B$7</f>
        <v>Targets/Controller/Custom Devices/FPGA Addon/Scalars/Scalar Outputs/PWM.Out.IO65/DC</v>
      </c>
      <c r="I358" s="58" t="str">
        <f>"IO" &amp; A357</f>
        <v>IO65</v>
      </c>
      <c r="J358" s="142"/>
      <c r="K358" s="145"/>
      <c r="L358" s="129"/>
      <c r="M358" s="132"/>
      <c r="N358" s="135"/>
    </row>
    <row r="359" spans="1:14" x14ac:dyDescent="0.45">
      <c r="A359" s="138"/>
      <c r="B359" s="151"/>
      <c r="C359" s="30" t="str">
        <f>"SLSC-12201-2/P" &amp; ROUNDDOWN(D359/8,0) &amp; "." &amp; MOD(D359,8)</f>
        <v>SLSC-12201-2/P0.0</v>
      </c>
      <c r="D359" s="45">
        <v>0</v>
      </c>
      <c r="E359" s="45" t="s">
        <v>11</v>
      </c>
      <c r="F359" s="45" t="s">
        <v>17</v>
      </c>
      <c r="G359" s="37" t="str">
        <f t="shared" si="166"/>
        <v>None</v>
      </c>
      <c r="H359" s="85" t="str">
        <f>Paths!$B$20 &amp; "Bank " &amp; ROUNDDOWN(D359/16,0) &amp; "/Port " &amp; ROUNDDOWN(D359/8,0) &amp; "/Line " &amp;MOD(D359,8) &amp;"/Direction"</f>
        <v>Targets/Controller/Hardware/SLSC/SLSC Chassis/Modules/Slot 9 (SLSC-12201 DIO)/Bank 0/Port 0/Line 0/Direction</v>
      </c>
      <c r="I359" s="58" t="str">
        <f>"IO" &amp; A357</f>
        <v>IO65</v>
      </c>
      <c r="J359" s="142"/>
      <c r="K359" s="145"/>
      <c r="L359" s="147"/>
      <c r="M359" s="148"/>
      <c r="N359" s="149"/>
    </row>
    <row r="360" spans="1:14" ht="14.65" thickBot="1" x14ac:dyDescent="0.5">
      <c r="A360" s="139"/>
      <c r="B360" s="152"/>
      <c r="C360" s="31" t="str">
        <f>"PXI-2510-2/dut" &amp; D360</f>
        <v>PXI-2510-2/dut24</v>
      </c>
      <c r="D360" s="46">
        <v>24</v>
      </c>
      <c r="E360" s="46" t="s">
        <v>0</v>
      </c>
      <c r="F360" s="46" t="s">
        <v>28</v>
      </c>
      <c r="G360" s="38" t="str">
        <f t="shared" si="166"/>
        <v>None</v>
      </c>
      <c r="H360" s="86" t="s">
        <v>28</v>
      </c>
      <c r="I360" s="59" t="str">
        <f>"IO" &amp; A357</f>
        <v>IO65</v>
      </c>
      <c r="J360" s="143"/>
      <c r="K360" s="146"/>
      <c r="L360" s="130"/>
      <c r="M360" s="133"/>
      <c r="N360" s="136"/>
    </row>
    <row r="361" spans="1:14" ht="15" customHeight="1" x14ac:dyDescent="0.45">
      <c r="A361" s="137">
        <f>A357+1</f>
        <v>66</v>
      </c>
      <c r="B361" s="140" t="str">
        <f>B357</f>
        <v>DO
DO: 0-Vsup</v>
      </c>
      <c r="C361" s="29" t="str">
        <f>"PXIe-7820R/DIO" &amp; D361</f>
        <v>PXIe-7820R/DIO33</v>
      </c>
      <c r="D361" s="29">
        <f t="shared" ref="D361:D392" si="167">D357+1</f>
        <v>33</v>
      </c>
      <c r="E361" s="55" t="str">
        <f t="shared" ref="E361:F380" si="168">E357</f>
        <v>FPGA DO (PWM Gen.)</v>
      </c>
      <c r="F361" s="55" t="str">
        <f t="shared" si="168"/>
        <v>PWM_FR</v>
      </c>
      <c r="G361" s="29" t="str">
        <f t="shared" si="166"/>
        <v>ATE/IO66/PWM_FR</v>
      </c>
      <c r="H361" s="83" t="str">
        <f>Paths!$B$2 &amp; I361 &amp; Paths!$B$6</f>
        <v>Targets/Controller/Custom Devices/FPGA Addon/Scalars/Scalar Outputs/PWM.Out.IO66/FREQ</v>
      </c>
      <c r="I361" s="32" t="str">
        <f>"IO" &amp; A361</f>
        <v>IO66</v>
      </c>
      <c r="J361" s="141" t="s">
        <v>6</v>
      </c>
      <c r="K361" s="144" t="s">
        <v>7</v>
      </c>
      <c r="L361" s="128"/>
      <c r="M361" s="131"/>
      <c r="N361" s="134"/>
    </row>
    <row r="362" spans="1:14" x14ac:dyDescent="0.45">
      <c r="A362" s="138"/>
      <c r="B362" s="98"/>
      <c r="C362" s="30" t="str">
        <f>"PXIe-7820R/DIO" &amp; D362</f>
        <v>PXIe-7820R/DIO33</v>
      </c>
      <c r="D362" s="30">
        <f t="shared" si="167"/>
        <v>33</v>
      </c>
      <c r="E362" s="30" t="str">
        <f t="shared" si="168"/>
        <v>FPGA DO (PWM Gen.)</v>
      </c>
      <c r="F362" s="30" t="str">
        <f t="shared" si="168"/>
        <v>PWM_DC</v>
      </c>
      <c r="G362" s="30" t="str">
        <f t="shared" si="166"/>
        <v>ATE/IO66/PWM_DC</v>
      </c>
      <c r="H362" s="84" t="str">
        <f>Paths!$B$2 &amp; I362 &amp; Paths!$B$7</f>
        <v>Targets/Controller/Custom Devices/FPGA Addon/Scalars/Scalar Outputs/PWM.Out.IO66/DC</v>
      </c>
      <c r="I362" s="58" t="str">
        <f>"IO" &amp; A361</f>
        <v>IO66</v>
      </c>
      <c r="J362" s="142"/>
      <c r="K362" s="145"/>
      <c r="L362" s="129"/>
      <c r="M362" s="132"/>
      <c r="N362" s="135"/>
    </row>
    <row r="363" spans="1:14" x14ac:dyDescent="0.45">
      <c r="A363" s="138"/>
      <c r="B363" s="98"/>
      <c r="C363" s="30" t="str">
        <f>"SLSC-12201-2/P" &amp; ROUNDDOWN(D363/8,0) &amp; "." &amp; MOD(D363,8)</f>
        <v>SLSC-12201-2/P0.1</v>
      </c>
      <c r="D363" s="30">
        <f t="shared" si="167"/>
        <v>1</v>
      </c>
      <c r="E363" s="30" t="str">
        <f t="shared" si="168"/>
        <v>Output Push-Pull</v>
      </c>
      <c r="F363" s="30" t="str">
        <f t="shared" si="168"/>
        <v>None</v>
      </c>
      <c r="G363" s="30" t="str">
        <f t="shared" si="166"/>
        <v>None</v>
      </c>
      <c r="H363" s="41" t="str">
        <f>Paths!$B$20 &amp; "Bank " &amp; ROUNDDOWN(D363/16,0) &amp; "/Port " &amp; ROUNDDOWN(D363/8,0) &amp; "/Line " &amp;MOD(D363,8) &amp;"/Direction"</f>
        <v>Targets/Controller/Hardware/SLSC/SLSC Chassis/Modules/Slot 9 (SLSC-12201 DIO)/Bank 0/Port 0/Line 1/Direction</v>
      </c>
      <c r="I363" s="58" t="str">
        <f>"IO" &amp; A361</f>
        <v>IO66</v>
      </c>
      <c r="J363" s="142"/>
      <c r="K363" s="145"/>
      <c r="L363" s="147"/>
      <c r="M363" s="148"/>
      <c r="N363" s="149"/>
    </row>
    <row r="364" spans="1:14" ht="14.65" thickBot="1" x14ac:dyDescent="0.5">
      <c r="A364" s="139"/>
      <c r="B364" s="99"/>
      <c r="C364" s="31" t="str">
        <f>"PXI-2510-2/dut" &amp; D364</f>
        <v>PXI-2510-2/dut25</v>
      </c>
      <c r="D364" s="31">
        <f t="shared" si="167"/>
        <v>25</v>
      </c>
      <c r="E364" s="31" t="str">
        <f t="shared" si="168"/>
        <v>FIU</v>
      </c>
      <c r="F364" s="31" t="str">
        <f t="shared" si="168"/>
        <v>TBD</v>
      </c>
      <c r="G364" s="31" t="str">
        <f t="shared" si="166"/>
        <v>None</v>
      </c>
      <c r="H364" s="42" t="s">
        <v>28</v>
      </c>
      <c r="I364" s="59" t="str">
        <f>"IO" &amp; A361</f>
        <v>IO66</v>
      </c>
      <c r="J364" s="143"/>
      <c r="K364" s="146"/>
      <c r="L364" s="130"/>
      <c r="M364" s="133"/>
      <c r="N364" s="136"/>
    </row>
    <row r="365" spans="1:14" ht="15" customHeight="1" x14ac:dyDescent="0.45">
      <c r="A365" s="137">
        <f>A361+1</f>
        <v>67</v>
      </c>
      <c r="B365" s="140" t="str">
        <f>B361</f>
        <v>DO
DO: 0-Vsup</v>
      </c>
      <c r="C365" s="29" t="str">
        <f>"PXIe-7820R/DIO" &amp; D365</f>
        <v>PXIe-7820R/DIO34</v>
      </c>
      <c r="D365" s="29">
        <f t="shared" si="167"/>
        <v>34</v>
      </c>
      <c r="E365" s="55" t="str">
        <f t="shared" si="168"/>
        <v>FPGA DO (PWM Gen.)</v>
      </c>
      <c r="F365" s="55" t="str">
        <f t="shared" si="168"/>
        <v>PWM_FR</v>
      </c>
      <c r="G365" s="29" t="str">
        <f t="shared" si="166"/>
        <v>ATE/IO67/PWM_FR</v>
      </c>
      <c r="H365" s="83" t="str">
        <f>Paths!$B$2 &amp; I365 &amp; Paths!$B$6</f>
        <v>Targets/Controller/Custom Devices/FPGA Addon/Scalars/Scalar Outputs/PWM.Out.IO67/FREQ</v>
      </c>
      <c r="I365" s="32" t="str">
        <f>"IO" &amp; A365</f>
        <v>IO67</v>
      </c>
      <c r="J365" s="141" t="s">
        <v>6</v>
      </c>
      <c r="K365" s="144" t="s">
        <v>7</v>
      </c>
      <c r="L365" s="128"/>
      <c r="M365" s="131"/>
      <c r="N365" s="134"/>
    </row>
    <row r="366" spans="1:14" x14ac:dyDescent="0.45">
      <c r="A366" s="138"/>
      <c r="B366" s="98"/>
      <c r="C366" s="30" t="str">
        <f>"PXIe-7820R/DIO" &amp; D366</f>
        <v>PXIe-7820R/DIO34</v>
      </c>
      <c r="D366" s="30">
        <f t="shared" si="167"/>
        <v>34</v>
      </c>
      <c r="E366" s="30" t="str">
        <f t="shared" si="168"/>
        <v>FPGA DO (PWM Gen.)</v>
      </c>
      <c r="F366" s="30" t="str">
        <f t="shared" si="168"/>
        <v>PWM_DC</v>
      </c>
      <c r="G366" s="30" t="str">
        <f t="shared" si="166"/>
        <v>ATE/IO67/PWM_DC</v>
      </c>
      <c r="H366" s="84" t="str">
        <f>Paths!$B$2 &amp; I366 &amp; Paths!$B$7</f>
        <v>Targets/Controller/Custom Devices/FPGA Addon/Scalars/Scalar Outputs/PWM.Out.IO67/DC</v>
      </c>
      <c r="I366" s="58" t="str">
        <f>"IO" &amp; A365</f>
        <v>IO67</v>
      </c>
      <c r="J366" s="142"/>
      <c r="K366" s="145"/>
      <c r="L366" s="129"/>
      <c r="M366" s="132"/>
      <c r="N366" s="135"/>
    </row>
    <row r="367" spans="1:14" x14ac:dyDescent="0.45">
      <c r="A367" s="138"/>
      <c r="B367" s="98"/>
      <c r="C367" s="30" t="str">
        <f>"SLSC-12201-2/P" &amp; ROUNDDOWN(D367/8,0) &amp; "." &amp; MOD(D367,8)</f>
        <v>SLSC-12201-2/P0.2</v>
      </c>
      <c r="D367" s="30">
        <f t="shared" si="167"/>
        <v>2</v>
      </c>
      <c r="E367" s="30" t="str">
        <f t="shared" si="168"/>
        <v>Output Push-Pull</v>
      </c>
      <c r="F367" s="30" t="str">
        <f t="shared" si="168"/>
        <v>None</v>
      </c>
      <c r="G367" s="30" t="str">
        <f t="shared" si="166"/>
        <v>None</v>
      </c>
      <c r="H367" s="41" t="str">
        <f>Paths!$B$20 &amp; "Bank " &amp; ROUNDDOWN(D367/16,0) &amp; "/Port " &amp; ROUNDDOWN(D367/8,0) &amp; "/Line " &amp;MOD(D367,8) &amp;"/Direction"</f>
        <v>Targets/Controller/Hardware/SLSC/SLSC Chassis/Modules/Slot 9 (SLSC-12201 DIO)/Bank 0/Port 0/Line 2/Direction</v>
      </c>
      <c r="I367" s="58" t="str">
        <f>"IO" &amp; A365</f>
        <v>IO67</v>
      </c>
      <c r="J367" s="142"/>
      <c r="K367" s="145"/>
      <c r="L367" s="147"/>
      <c r="M367" s="148"/>
      <c r="N367" s="149"/>
    </row>
    <row r="368" spans="1:14" ht="14.65" thickBot="1" x14ac:dyDescent="0.5">
      <c r="A368" s="139"/>
      <c r="B368" s="99"/>
      <c r="C368" s="31" t="str">
        <f>"PXI-2510-2/dut" &amp; D368</f>
        <v>PXI-2510-2/dut26</v>
      </c>
      <c r="D368" s="31">
        <f t="shared" si="167"/>
        <v>26</v>
      </c>
      <c r="E368" s="31" t="str">
        <f t="shared" si="168"/>
        <v>FIU</v>
      </c>
      <c r="F368" s="31" t="str">
        <f t="shared" si="168"/>
        <v>TBD</v>
      </c>
      <c r="G368" s="31" t="str">
        <f t="shared" si="166"/>
        <v>None</v>
      </c>
      <c r="H368" s="42" t="s">
        <v>28</v>
      </c>
      <c r="I368" s="59" t="str">
        <f>"IO" &amp; A365</f>
        <v>IO67</v>
      </c>
      <c r="J368" s="143"/>
      <c r="K368" s="146"/>
      <c r="L368" s="130"/>
      <c r="M368" s="133"/>
      <c r="N368" s="136"/>
    </row>
    <row r="369" spans="1:14" ht="15" customHeight="1" x14ac:dyDescent="0.45">
      <c r="A369" s="137">
        <f>A365+1</f>
        <v>68</v>
      </c>
      <c r="B369" s="140" t="str">
        <f>B365</f>
        <v>DO
DO: 0-Vsup</v>
      </c>
      <c r="C369" s="29" t="str">
        <f>"PXIe-7820R/DIO" &amp; D369</f>
        <v>PXIe-7820R/DIO35</v>
      </c>
      <c r="D369" s="29">
        <f t="shared" si="167"/>
        <v>35</v>
      </c>
      <c r="E369" s="55" t="str">
        <f t="shared" si="168"/>
        <v>FPGA DO (PWM Gen.)</v>
      </c>
      <c r="F369" s="55" t="str">
        <f t="shared" si="168"/>
        <v>PWM_FR</v>
      </c>
      <c r="G369" s="29" t="str">
        <f t="shared" si="166"/>
        <v>ATE/IO68/PWM_FR</v>
      </c>
      <c r="H369" s="83" t="str">
        <f>Paths!$B$2 &amp; I369 &amp; Paths!$B$6</f>
        <v>Targets/Controller/Custom Devices/FPGA Addon/Scalars/Scalar Outputs/PWM.Out.IO68/FREQ</v>
      </c>
      <c r="I369" s="32" t="str">
        <f>"IO" &amp; A369</f>
        <v>IO68</v>
      </c>
      <c r="J369" s="141" t="s">
        <v>6</v>
      </c>
      <c r="K369" s="144" t="s">
        <v>7</v>
      </c>
      <c r="L369" s="128"/>
      <c r="M369" s="131"/>
      <c r="N369" s="134"/>
    </row>
    <row r="370" spans="1:14" x14ac:dyDescent="0.45">
      <c r="A370" s="138"/>
      <c r="B370" s="98"/>
      <c r="C370" s="30" t="str">
        <f>"PXIe-7820R/DIO" &amp; D370</f>
        <v>PXIe-7820R/DIO35</v>
      </c>
      <c r="D370" s="30">
        <f t="shared" si="167"/>
        <v>35</v>
      </c>
      <c r="E370" s="30" t="str">
        <f t="shared" si="168"/>
        <v>FPGA DO (PWM Gen.)</v>
      </c>
      <c r="F370" s="30" t="str">
        <f t="shared" si="168"/>
        <v>PWM_DC</v>
      </c>
      <c r="G370" s="30" t="str">
        <f t="shared" si="166"/>
        <v>ATE/IO68/PWM_DC</v>
      </c>
      <c r="H370" s="84" t="str">
        <f>Paths!$B$2 &amp; I370 &amp; Paths!$B$7</f>
        <v>Targets/Controller/Custom Devices/FPGA Addon/Scalars/Scalar Outputs/PWM.Out.IO68/DC</v>
      </c>
      <c r="I370" s="58" t="str">
        <f>"IO" &amp; A369</f>
        <v>IO68</v>
      </c>
      <c r="J370" s="142"/>
      <c r="K370" s="145"/>
      <c r="L370" s="129"/>
      <c r="M370" s="132"/>
      <c r="N370" s="135"/>
    </row>
    <row r="371" spans="1:14" x14ac:dyDescent="0.45">
      <c r="A371" s="138"/>
      <c r="B371" s="98"/>
      <c r="C371" s="30" t="str">
        <f>"SLSC-12201-2/P" &amp; ROUNDDOWN(D371/8,0) &amp; "." &amp; MOD(D371,8)</f>
        <v>SLSC-12201-2/P0.3</v>
      </c>
      <c r="D371" s="30">
        <f t="shared" si="167"/>
        <v>3</v>
      </c>
      <c r="E371" s="30" t="str">
        <f t="shared" si="168"/>
        <v>Output Push-Pull</v>
      </c>
      <c r="F371" s="30" t="str">
        <f t="shared" si="168"/>
        <v>None</v>
      </c>
      <c r="G371" s="30" t="str">
        <f t="shared" si="166"/>
        <v>None</v>
      </c>
      <c r="H371" s="41" t="str">
        <f>Paths!$B$20 &amp; "Bank " &amp; ROUNDDOWN(D371/16,0) &amp; "/Port " &amp; ROUNDDOWN(D371/8,0) &amp; "/Line " &amp;MOD(D371,8) &amp;"/Direction"</f>
        <v>Targets/Controller/Hardware/SLSC/SLSC Chassis/Modules/Slot 9 (SLSC-12201 DIO)/Bank 0/Port 0/Line 3/Direction</v>
      </c>
      <c r="I371" s="58" t="str">
        <f>"IO" &amp; A369</f>
        <v>IO68</v>
      </c>
      <c r="J371" s="142"/>
      <c r="K371" s="145"/>
      <c r="L371" s="147"/>
      <c r="M371" s="148"/>
      <c r="N371" s="149"/>
    </row>
    <row r="372" spans="1:14" ht="14.65" thickBot="1" x14ac:dyDescent="0.5">
      <c r="A372" s="139"/>
      <c r="B372" s="99"/>
      <c r="C372" s="31" t="str">
        <f>"PXI-2510-2/dut" &amp; D372</f>
        <v>PXI-2510-2/dut27</v>
      </c>
      <c r="D372" s="31">
        <f t="shared" si="167"/>
        <v>27</v>
      </c>
      <c r="E372" s="31" t="str">
        <f t="shared" si="168"/>
        <v>FIU</v>
      </c>
      <c r="F372" s="31" t="str">
        <f t="shared" si="168"/>
        <v>TBD</v>
      </c>
      <c r="G372" s="31" t="str">
        <f t="shared" si="166"/>
        <v>None</v>
      </c>
      <c r="H372" s="42" t="s">
        <v>28</v>
      </c>
      <c r="I372" s="59" t="str">
        <f>"IO" &amp; A369</f>
        <v>IO68</v>
      </c>
      <c r="J372" s="143"/>
      <c r="K372" s="146"/>
      <c r="L372" s="130"/>
      <c r="M372" s="133"/>
      <c r="N372" s="136"/>
    </row>
    <row r="373" spans="1:14" ht="15" customHeight="1" x14ac:dyDescent="0.45">
      <c r="A373" s="137">
        <f>A369+1</f>
        <v>69</v>
      </c>
      <c r="B373" s="140" t="str">
        <f>B369</f>
        <v>DO
DO: 0-Vsup</v>
      </c>
      <c r="C373" s="29" t="str">
        <f>"PXIe-7820R/DIO" &amp; D373</f>
        <v>PXIe-7820R/DIO36</v>
      </c>
      <c r="D373" s="29">
        <f t="shared" si="167"/>
        <v>36</v>
      </c>
      <c r="E373" s="55" t="str">
        <f t="shared" si="168"/>
        <v>FPGA DO (PWM Gen.)</v>
      </c>
      <c r="F373" s="55" t="str">
        <f t="shared" si="168"/>
        <v>PWM_FR</v>
      </c>
      <c r="G373" s="29" t="str">
        <f t="shared" si="166"/>
        <v>ATE/IO69/PWM_FR</v>
      </c>
      <c r="H373" s="83" t="str">
        <f>Paths!$B$2 &amp; I373 &amp; Paths!$B$6</f>
        <v>Targets/Controller/Custom Devices/FPGA Addon/Scalars/Scalar Outputs/PWM.Out.IO69/FREQ</v>
      </c>
      <c r="I373" s="32" t="str">
        <f>"IO" &amp; A373</f>
        <v>IO69</v>
      </c>
      <c r="J373" s="141" t="s">
        <v>6</v>
      </c>
      <c r="K373" s="144" t="s">
        <v>7</v>
      </c>
      <c r="L373" s="128"/>
      <c r="M373" s="131"/>
      <c r="N373" s="134"/>
    </row>
    <row r="374" spans="1:14" x14ac:dyDescent="0.45">
      <c r="A374" s="138"/>
      <c r="B374" s="98"/>
      <c r="C374" s="30" t="str">
        <f>"PXIe-7820R/DIO" &amp; D374</f>
        <v>PXIe-7820R/DIO36</v>
      </c>
      <c r="D374" s="30">
        <f t="shared" si="167"/>
        <v>36</v>
      </c>
      <c r="E374" s="30" t="str">
        <f t="shared" si="168"/>
        <v>FPGA DO (PWM Gen.)</v>
      </c>
      <c r="F374" s="30" t="str">
        <f t="shared" si="168"/>
        <v>PWM_DC</v>
      </c>
      <c r="G374" s="30" t="str">
        <f t="shared" si="166"/>
        <v>ATE/IO69/PWM_DC</v>
      </c>
      <c r="H374" s="84" t="str">
        <f>Paths!$B$2 &amp; I374 &amp; Paths!$B$7</f>
        <v>Targets/Controller/Custom Devices/FPGA Addon/Scalars/Scalar Outputs/PWM.Out.IO69/DC</v>
      </c>
      <c r="I374" s="58" t="str">
        <f>"IO" &amp; A373</f>
        <v>IO69</v>
      </c>
      <c r="J374" s="142"/>
      <c r="K374" s="145"/>
      <c r="L374" s="129"/>
      <c r="M374" s="132"/>
      <c r="N374" s="135"/>
    </row>
    <row r="375" spans="1:14" x14ac:dyDescent="0.45">
      <c r="A375" s="138"/>
      <c r="B375" s="98"/>
      <c r="C375" s="30" t="str">
        <f>"SLSC-12201-2/P" &amp; ROUNDDOWN(D375/8,0) &amp; "." &amp; MOD(D375,8)</f>
        <v>SLSC-12201-2/P0.4</v>
      </c>
      <c r="D375" s="30">
        <f t="shared" si="167"/>
        <v>4</v>
      </c>
      <c r="E375" s="30" t="str">
        <f t="shared" si="168"/>
        <v>Output Push-Pull</v>
      </c>
      <c r="F375" s="30" t="str">
        <f t="shared" si="168"/>
        <v>None</v>
      </c>
      <c r="G375" s="30" t="str">
        <f t="shared" si="166"/>
        <v>None</v>
      </c>
      <c r="H375" s="41" t="str">
        <f>Paths!$B$20 &amp; "Bank " &amp; ROUNDDOWN(D375/16,0) &amp; "/Port " &amp; ROUNDDOWN(D375/8,0) &amp; "/Line " &amp;MOD(D375,8) &amp;"/Direction"</f>
        <v>Targets/Controller/Hardware/SLSC/SLSC Chassis/Modules/Slot 9 (SLSC-12201 DIO)/Bank 0/Port 0/Line 4/Direction</v>
      </c>
      <c r="I375" s="58" t="str">
        <f>"IO" &amp; A373</f>
        <v>IO69</v>
      </c>
      <c r="J375" s="142"/>
      <c r="K375" s="145"/>
      <c r="L375" s="147"/>
      <c r="M375" s="148"/>
      <c r="N375" s="149"/>
    </row>
    <row r="376" spans="1:14" ht="14.65" thickBot="1" x14ac:dyDescent="0.5">
      <c r="A376" s="139"/>
      <c r="B376" s="99"/>
      <c r="C376" s="31" t="str">
        <f>"PXI-2510-2/dut" &amp; D376</f>
        <v>PXI-2510-2/dut28</v>
      </c>
      <c r="D376" s="31">
        <f t="shared" si="167"/>
        <v>28</v>
      </c>
      <c r="E376" s="31" t="str">
        <f t="shared" si="168"/>
        <v>FIU</v>
      </c>
      <c r="F376" s="31" t="str">
        <f t="shared" si="168"/>
        <v>TBD</v>
      </c>
      <c r="G376" s="31" t="str">
        <f t="shared" si="166"/>
        <v>None</v>
      </c>
      <c r="H376" s="42" t="s">
        <v>28</v>
      </c>
      <c r="I376" s="59" t="str">
        <f>"IO" &amp; A373</f>
        <v>IO69</v>
      </c>
      <c r="J376" s="143"/>
      <c r="K376" s="146"/>
      <c r="L376" s="130"/>
      <c r="M376" s="133"/>
      <c r="N376" s="136"/>
    </row>
    <row r="377" spans="1:14" ht="15" customHeight="1" x14ac:dyDescent="0.45">
      <c r="A377" s="137">
        <f>A373+1</f>
        <v>70</v>
      </c>
      <c r="B377" s="140" t="str">
        <f>B373</f>
        <v>DO
DO: 0-Vsup</v>
      </c>
      <c r="C377" s="29" t="str">
        <f>"PXIe-7820R/DIO" &amp; D377</f>
        <v>PXIe-7820R/DIO37</v>
      </c>
      <c r="D377" s="29">
        <f t="shared" si="167"/>
        <v>37</v>
      </c>
      <c r="E377" s="55" t="str">
        <f t="shared" si="168"/>
        <v>FPGA DO (PWM Gen.)</v>
      </c>
      <c r="F377" s="55" t="str">
        <f t="shared" si="168"/>
        <v>PWM_FR</v>
      </c>
      <c r="G377" s="29" t="str">
        <f t="shared" si="166"/>
        <v>ATE/IO70/PWM_FR</v>
      </c>
      <c r="H377" s="83" t="str">
        <f>Paths!$B$2 &amp; I377 &amp; Paths!$B$6</f>
        <v>Targets/Controller/Custom Devices/FPGA Addon/Scalars/Scalar Outputs/PWM.Out.IO70/FREQ</v>
      </c>
      <c r="I377" s="32" t="str">
        <f>"IO" &amp; A377</f>
        <v>IO70</v>
      </c>
      <c r="J377" s="141" t="s">
        <v>6</v>
      </c>
      <c r="K377" s="144" t="s">
        <v>7</v>
      </c>
      <c r="L377" s="128"/>
      <c r="M377" s="131"/>
      <c r="N377" s="134"/>
    </row>
    <row r="378" spans="1:14" x14ac:dyDescent="0.45">
      <c r="A378" s="138"/>
      <c r="B378" s="98"/>
      <c r="C378" s="30" t="str">
        <f>"PXIe-7820R/DIO" &amp; D378</f>
        <v>PXIe-7820R/DIO37</v>
      </c>
      <c r="D378" s="30">
        <f t="shared" si="167"/>
        <v>37</v>
      </c>
      <c r="E378" s="30" t="str">
        <f t="shared" si="168"/>
        <v>FPGA DO (PWM Gen.)</v>
      </c>
      <c r="F378" s="30" t="str">
        <f t="shared" si="168"/>
        <v>PWM_DC</v>
      </c>
      <c r="G378" s="30" t="str">
        <f t="shared" si="166"/>
        <v>ATE/IO70/PWM_DC</v>
      </c>
      <c r="H378" s="84" t="str">
        <f>Paths!$B$2 &amp; I378 &amp; Paths!$B$7</f>
        <v>Targets/Controller/Custom Devices/FPGA Addon/Scalars/Scalar Outputs/PWM.Out.IO70/DC</v>
      </c>
      <c r="I378" s="58" t="str">
        <f>"IO" &amp; A377</f>
        <v>IO70</v>
      </c>
      <c r="J378" s="142"/>
      <c r="K378" s="145"/>
      <c r="L378" s="129"/>
      <c r="M378" s="132"/>
      <c r="N378" s="135"/>
    </row>
    <row r="379" spans="1:14" x14ac:dyDescent="0.45">
      <c r="A379" s="138"/>
      <c r="B379" s="98"/>
      <c r="C379" s="30" t="str">
        <f>"SLSC-12201-2/P" &amp; ROUNDDOWN(D379/8,0) &amp; "." &amp; MOD(D379,8)</f>
        <v>SLSC-12201-2/P0.5</v>
      </c>
      <c r="D379" s="30">
        <f t="shared" si="167"/>
        <v>5</v>
      </c>
      <c r="E379" s="30" t="str">
        <f t="shared" si="168"/>
        <v>Output Push-Pull</v>
      </c>
      <c r="F379" s="30" t="str">
        <f t="shared" si="168"/>
        <v>None</v>
      </c>
      <c r="G379" s="30" t="str">
        <f t="shared" si="166"/>
        <v>None</v>
      </c>
      <c r="H379" s="41" t="str">
        <f>Paths!$B$20 &amp; "Bank " &amp; ROUNDDOWN(D379/16,0) &amp; "/Port " &amp; ROUNDDOWN(D379/8,0) &amp; "/Line " &amp;MOD(D379,8) &amp;"/Direction"</f>
        <v>Targets/Controller/Hardware/SLSC/SLSC Chassis/Modules/Slot 9 (SLSC-12201 DIO)/Bank 0/Port 0/Line 5/Direction</v>
      </c>
      <c r="I379" s="58" t="str">
        <f>"IO" &amp; A377</f>
        <v>IO70</v>
      </c>
      <c r="J379" s="142"/>
      <c r="K379" s="145"/>
      <c r="L379" s="147"/>
      <c r="M379" s="148"/>
      <c r="N379" s="149"/>
    </row>
    <row r="380" spans="1:14" ht="14.65" thickBot="1" x14ac:dyDescent="0.5">
      <c r="A380" s="139"/>
      <c r="B380" s="99"/>
      <c r="C380" s="31" t="str">
        <f>"PXI-2510-2/dut" &amp; D380</f>
        <v>PXI-2510-2/dut29</v>
      </c>
      <c r="D380" s="31">
        <f t="shared" si="167"/>
        <v>29</v>
      </c>
      <c r="E380" s="31" t="str">
        <f t="shared" si="168"/>
        <v>FIU</v>
      </c>
      <c r="F380" s="31" t="str">
        <f t="shared" si="168"/>
        <v>TBD</v>
      </c>
      <c r="G380" s="31" t="str">
        <f t="shared" si="166"/>
        <v>None</v>
      </c>
      <c r="H380" s="42" t="s">
        <v>28</v>
      </c>
      <c r="I380" s="59" t="str">
        <f>"IO" &amp; A377</f>
        <v>IO70</v>
      </c>
      <c r="J380" s="143"/>
      <c r="K380" s="146"/>
      <c r="L380" s="130"/>
      <c r="M380" s="133"/>
      <c r="N380" s="136"/>
    </row>
    <row r="381" spans="1:14" ht="15" customHeight="1" x14ac:dyDescent="0.45">
      <c r="A381" s="137">
        <f>A377+1</f>
        <v>71</v>
      </c>
      <c r="B381" s="140" t="str">
        <f>B377</f>
        <v>DO
DO: 0-Vsup</v>
      </c>
      <c r="C381" s="29" t="str">
        <f>"PXIe-7820R/DIO" &amp; D381</f>
        <v>PXIe-7820R/DIO38</v>
      </c>
      <c r="D381" s="29">
        <f t="shared" si="167"/>
        <v>38</v>
      </c>
      <c r="E381" s="55" t="str">
        <f t="shared" ref="E381:F400" si="169">E377</f>
        <v>FPGA DO (PWM Gen.)</v>
      </c>
      <c r="F381" s="55" t="str">
        <f t="shared" si="169"/>
        <v>PWM_FR</v>
      </c>
      <c r="G381" s="29" t="str">
        <f t="shared" si="166"/>
        <v>ATE/IO71/PWM_FR</v>
      </c>
      <c r="H381" s="83" t="str">
        <f>Paths!$B$2 &amp; I381 &amp; Paths!$B$6</f>
        <v>Targets/Controller/Custom Devices/FPGA Addon/Scalars/Scalar Outputs/PWM.Out.IO71/FREQ</v>
      </c>
      <c r="I381" s="32" t="str">
        <f>"IO" &amp; A381</f>
        <v>IO71</v>
      </c>
      <c r="J381" s="141" t="s">
        <v>6</v>
      </c>
      <c r="K381" s="144" t="s">
        <v>7</v>
      </c>
      <c r="L381" s="128"/>
      <c r="M381" s="131"/>
      <c r="N381" s="134"/>
    </row>
    <row r="382" spans="1:14" x14ac:dyDescent="0.45">
      <c r="A382" s="138"/>
      <c r="B382" s="98"/>
      <c r="C382" s="30" t="str">
        <f>"PXIe-7820R/DIO" &amp; D382</f>
        <v>PXIe-7820R/DIO38</v>
      </c>
      <c r="D382" s="30">
        <f t="shared" si="167"/>
        <v>38</v>
      </c>
      <c r="E382" s="30" t="str">
        <f t="shared" si="169"/>
        <v>FPGA DO (PWM Gen.)</v>
      </c>
      <c r="F382" s="30" t="str">
        <f t="shared" si="169"/>
        <v>PWM_DC</v>
      </c>
      <c r="G382" s="30" t="str">
        <f t="shared" si="166"/>
        <v>ATE/IO71/PWM_DC</v>
      </c>
      <c r="H382" s="84" t="str">
        <f>Paths!$B$2 &amp; I382 &amp; Paths!$B$7</f>
        <v>Targets/Controller/Custom Devices/FPGA Addon/Scalars/Scalar Outputs/PWM.Out.IO71/DC</v>
      </c>
      <c r="I382" s="58" t="str">
        <f>"IO" &amp; A381</f>
        <v>IO71</v>
      </c>
      <c r="J382" s="142"/>
      <c r="K382" s="145"/>
      <c r="L382" s="129"/>
      <c r="M382" s="132"/>
      <c r="N382" s="135"/>
    </row>
    <row r="383" spans="1:14" x14ac:dyDescent="0.45">
      <c r="A383" s="138"/>
      <c r="B383" s="98"/>
      <c r="C383" s="30" t="str">
        <f>"SLSC-12201-2/P" &amp; ROUNDDOWN(D383/8,0) &amp; "." &amp; MOD(D383,8)</f>
        <v>SLSC-12201-2/P0.6</v>
      </c>
      <c r="D383" s="30">
        <f t="shared" si="167"/>
        <v>6</v>
      </c>
      <c r="E383" s="30" t="str">
        <f t="shared" si="169"/>
        <v>Output Push-Pull</v>
      </c>
      <c r="F383" s="30" t="str">
        <f t="shared" si="169"/>
        <v>None</v>
      </c>
      <c r="G383" s="30" t="str">
        <f t="shared" si="166"/>
        <v>None</v>
      </c>
      <c r="H383" s="41" t="str">
        <f>Paths!$B$20 &amp; "Bank " &amp; ROUNDDOWN(D383/16,0) &amp; "/Port " &amp; ROUNDDOWN(D383/8,0) &amp; "/Line " &amp;MOD(D383,8) &amp;"/Direction"</f>
        <v>Targets/Controller/Hardware/SLSC/SLSC Chassis/Modules/Slot 9 (SLSC-12201 DIO)/Bank 0/Port 0/Line 6/Direction</v>
      </c>
      <c r="I383" s="58" t="str">
        <f>"IO" &amp; A381</f>
        <v>IO71</v>
      </c>
      <c r="J383" s="142"/>
      <c r="K383" s="145"/>
      <c r="L383" s="147"/>
      <c r="M383" s="148"/>
      <c r="N383" s="149"/>
    </row>
    <row r="384" spans="1:14" ht="14.65" thickBot="1" x14ac:dyDescent="0.5">
      <c r="A384" s="139"/>
      <c r="B384" s="99"/>
      <c r="C384" s="31" t="str">
        <f>"PXI-2510-2/dut" &amp; D384</f>
        <v>PXI-2510-2/dut30</v>
      </c>
      <c r="D384" s="31">
        <f t="shared" si="167"/>
        <v>30</v>
      </c>
      <c r="E384" s="31" t="str">
        <f t="shared" si="169"/>
        <v>FIU</v>
      </c>
      <c r="F384" s="31" t="str">
        <f t="shared" si="169"/>
        <v>TBD</v>
      </c>
      <c r="G384" s="31" t="str">
        <f t="shared" si="166"/>
        <v>None</v>
      </c>
      <c r="H384" s="42" t="s">
        <v>28</v>
      </c>
      <c r="I384" s="59" t="str">
        <f>"IO" &amp; A381</f>
        <v>IO71</v>
      </c>
      <c r="J384" s="143"/>
      <c r="K384" s="146"/>
      <c r="L384" s="130"/>
      <c r="M384" s="133"/>
      <c r="N384" s="136"/>
    </row>
    <row r="385" spans="1:14" ht="15" customHeight="1" x14ac:dyDescent="0.45">
      <c r="A385" s="137">
        <f>A381+1</f>
        <v>72</v>
      </c>
      <c r="B385" s="140" t="str">
        <f>B381</f>
        <v>DO
DO: 0-Vsup</v>
      </c>
      <c r="C385" s="29" t="str">
        <f>"PXIe-7820R/DIO" &amp; D385</f>
        <v>PXIe-7820R/DIO39</v>
      </c>
      <c r="D385" s="29">
        <f t="shared" si="167"/>
        <v>39</v>
      </c>
      <c r="E385" s="55" t="str">
        <f t="shared" si="169"/>
        <v>FPGA DO (PWM Gen.)</v>
      </c>
      <c r="F385" s="55" t="str">
        <f t="shared" si="169"/>
        <v>PWM_FR</v>
      </c>
      <c r="G385" s="29" t="str">
        <f t="shared" si="166"/>
        <v>ATE/IO72/PWM_FR</v>
      </c>
      <c r="H385" s="83" t="str">
        <f>Paths!$B$2 &amp; I385 &amp; Paths!$B$6</f>
        <v>Targets/Controller/Custom Devices/FPGA Addon/Scalars/Scalar Outputs/PWM.Out.IO72/FREQ</v>
      </c>
      <c r="I385" s="32" t="str">
        <f>"IO" &amp; A385</f>
        <v>IO72</v>
      </c>
      <c r="J385" s="141" t="s">
        <v>6</v>
      </c>
      <c r="K385" s="144" t="s">
        <v>7</v>
      </c>
      <c r="L385" s="128"/>
      <c r="M385" s="131"/>
      <c r="N385" s="134"/>
    </row>
    <row r="386" spans="1:14" x14ac:dyDescent="0.45">
      <c r="A386" s="138"/>
      <c r="B386" s="98"/>
      <c r="C386" s="30" t="str">
        <f>"PXIe-7820R/DIO" &amp; D386</f>
        <v>PXIe-7820R/DIO39</v>
      </c>
      <c r="D386" s="30">
        <f t="shared" si="167"/>
        <v>39</v>
      </c>
      <c r="E386" s="30" t="str">
        <f t="shared" si="169"/>
        <v>FPGA DO (PWM Gen.)</v>
      </c>
      <c r="F386" s="30" t="str">
        <f t="shared" si="169"/>
        <v>PWM_DC</v>
      </c>
      <c r="G386" s="30" t="str">
        <f t="shared" si="166"/>
        <v>ATE/IO72/PWM_DC</v>
      </c>
      <c r="H386" s="84" t="str">
        <f>Paths!$B$2 &amp; I386 &amp; Paths!$B$7</f>
        <v>Targets/Controller/Custom Devices/FPGA Addon/Scalars/Scalar Outputs/PWM.Out.IO72/DC</v>
      </c>
      <c r="I386" s="58" t="str">
        <f>"IO" &amp; A385</f>
        <v>IO72</v>
      </c>
      <c r="J386" s="142"/>
      <c r="K386" s="145"/>
      <c r="L386" s="129"/>
      <c r="M386" s="132"/>
      <c r="N386" s="135"/>
    </row>
    <row r="387" spans="1:14" x14ac:dyDescent="0.45">
      <c r="A387" s="138"/>
      <c r="B387" s="98"/>
      <c r="C387" s="30" t="str">
        <f>"SLSC-12201-2/P" &amp; ROUNDDOWN(D387/8,0) &amp; "." &amp; MOD(D387,8)</f>
        <v>SLSC-12201-2/P0.7</v>
      </c>
      <c r="D387" s="30">
        <f t="shared" si="167"/>
        <v>7</v>
      </c>
      <c r="E387" s="30" t="str">
        <f t="shared" si="169"/>
        <v>Output Push-Pull</v>
      </c>
      <c r="F387" s="30" t="str">
        <f t="shared" si="169"/>
        <v>None</v>
      </c>
      <c r="G387" s="30" t="str">
        <f t="shared" si="166"/>
        <v>None</v>
      </c>
      <c r="H387" s="41" t="str">
        <f>Paths!$B$20 &amp; "Bank " &amp; ROUNDDOWN(D387/16,0) &amp; "/Port " &amp; ROUNDDOWN(D387/8,0) &amp; "/Line " &amp;MOD(D387,8) &amp;"/Direction"</f>
        <v>Targets/Controller/Hardware/SLSC/SLSC Chassis/Modules/Slot 9 (SLSC-12201 DIO)/Bank 0/Port 0/Line 7/Direction</v>
      </c>
      <c r="I387" s="58" t="str">
        <f>"IO" &amp; A385</f>
        <v>IO72</v>
      </c>
      <c r="J387" s="142"/>
      <c r="K387" s="145"/>
      <c r="L387" s="147"/>
      <c r="M387" s="148"/>
      <c r="N387" s="149"/>
    </row>
    <row r="388" spans="1:14" ht="14.65" thickBot="1" x14ac:dyDescent="0.5">
      <c r="A388" s="139"/>
      <c r="B388" s="99"/>
      <c r="C388" s="31" t="str">
        <f>"PXI-2510-2/dut" &amp; D388</f>
        <v>PXI-2510-2/dut31</v>
      </c>
      <c r="D388" s="31">
        <f t="shared" si="167"/>
        <v>31</v>
      </c>
      <c r="E388" s="31" t="str">
        <f t="shared" si="169"/>
        <v>FIU</v>
      </c>
      <c r="F388" s="31" t="str">
        <f t="shared" si="169"/>
        <v>TBD</v>
      </c>
      <c r="G388" s="31" t="str">
        <f t="shared" si="166"/>
        <v>None</v>
      </c>
      <c r="H388" s="42" t="s">
        <v>28</v>
      </c>
      <c r="I388" s="59" t="str">
        <f>"IO" &amp; A385</f>
        <v>IO72</v>
      </c>
      <c r="J388" s="143"/>
      <c r="K388" s="146"/>
      <c r="L388" s="130"/>
      <c r="M388" s="133"/>
      <c r="N388" s="136"/>
    </row>
    <row r="389" spans="1:14" ht="15" customHeight="1" x14ac:dyDescent="0.45">
      <c r="A389" s="137">
        <f>A385+1</f>
        <v>73</v>
      </c>
      <c r="B389" s="140" t="str">
        <f>B385</f>
        <v>DO
DO: 0-Vsup</v>
      </c>
      <c r="C389" s="29" t="str">
        <f>"PXIe-7820R/DIO" &amp; D389</f>
        <v>PXIe-7820R/DIO40</v>
      </c>
      <c r="D389" s="29">
        <f t="shared" si="167"/>
        <v>40</v>
      </c>
      <c r="E389" s="55" t="str">
        <f t="shared" si="169"/>
        <v>FPGA DO (PWM Gen.)</v>
      </c>
      <c r="F389" s="55" t="str">
        <f t="shared" si="169"/>
        <v>PWM_FR</v>
      </c>
      <c r="G389" s="29" t="str">
        <f t="shared" ref="G389:G420" si="170">IF(OR(F389="None",F389="TBD"),"None",_xlfn.CONCAT("ATE/",I389,"/",F389))</f>
        <v>ATE/IO73/PWM_FR</v>
      </c>
      <c r="H389" s="83" t="str">
        <f>Paths!$B$2 &amp; I389 &amp; Paths!$B$6</f>
        <v>Targets/Controller/Custom Devices/FPGA Addon/Scalars/Scalar Outputs/PWM.Out.IO73/FREQ</v>
      </c>
      <c r="I389" s="32" t="str">
        <f>"IO" &amp; A389</f>
        <v>IO73</v>
      </c>
      <c r="J389" s="141" t="s">
        <v>6</v>
      </c>
      <c r="K389" s="144" t="s">
        <v>7</v>
      </c>
      <c r="L389" s="128"/>
      <c r="M389" s="131"/>
      <c r="N389" s="134"/>
    </row>
    <row r="390" spans="1:14" x14ac:dyDescent="0.45">
      <c r="A390" s="138"/>
      <c r="B390" s="98"/>
      <c r="C390" s="30" t="str">
        <f>"PXIe-7820R/DIO" &amp; D390</f>
        <v>PXIe-7820R/DIO40</v>
      </c>
      <c r="D390" s="30">
        <f t="shared" si="167"/>
        <v>40</v>
      </c>
      <c r="E390" s="30" t="str">
        <f t="shared" si="169"/>
        <v>FPGA DO (PWM Gen.)</v>
      </c>
      <c r="F390" s="30" t="str">
        <f t="shared" si="169"/>
        <v>PWM_DC</v>
      </c>
      <c r="G390" s="30" t="str">
        <f t="shared" si="170"/>
        <v>ATE/IO73/PWM_DC</v>
      </c>
      <c r="H390" s="84" t="str">
        <f>Paths!$B$2 &amp; I390 &amp; Paths!$B$7</f>
        <v>Targets/Controller/Custom Devices/FPGA Addon/Scalars/Scalar Outputs/PWM.Out.IO73/DC</v>
      </c>
      <c r="I390" s="58" t="str">
        <f>"IO" &amp; A389</f>
        <v>IO73</v>
      </c>
      <c r="J390" s="142"/>
      <c r="K390" s="145"/>
      <c r="L390" s="129"/>
      <c r="M390" s="132"/>
      <c r="N390" s="135"/>
    </row>
    <row r="391" spans="1:14" x14ac:dyDescent="0.45">
      <c r="A391" s="138"/>
      <c r="B391" s="98"/>
      <c r="C391" s="30" t="str">
        <f>"SLSC-12201-2/P" &amp; ROUNDDOWN(D391/8,0) &amp; "." &amp; MOD(D391,8)</f>
        <v>SLSC-12201-2/P1.0</v>
      </c>
      <c r="D391" s="30">
        <f t="shared" si="167"/>
        <v>8</v>
      </c>
      <c r="E391" s="30" t="str">
        <f t="shared" si="169"/>
        <v>Output Push-Pull</v>
      </c>
      <c r="F391" s="30" t="str">
        <f t="shared" si="169"/>
        <v>None</v>
      </c>
      <c r="G391" s="30" t="str">
        <f t="shared" si="170"/>
        <v>None</v>
      </c>
      <c r="H391" s="41" t="str">
        <f>Paths!$B$20 &amp; "Bank " &amp; ROUNDDOWN(D391/16,0) &amp; "/Port " &amp; ROUNDDOWN(D391/8,0) &amp; "/Line " &amp;MOD(D391,8) &amp;"/Direction"</f>
        <v>Targets/Controller/Hardware/SLSC/SLSC Chassis/Modules/Slot 9 (SLSC-12201 DIO)/Bank 0/Port 1/Line 0/Direction</v>
      </c>
      <c r="I391" s="58" t="str">
        <f>"IO" &amp; A389</f>
        <v>IO73</v>
      </c>
      <c r="J391" s="142"/>
      <c r="K391" s="145"/>
      <c r="L391" s="147"/>
      <c r="M391" s="148"/>
      <c r="N391" s="149"/>
    </row>
    <row r="392" spans="1:14" ht="14.65" thickBot="1" x14ac:dyDescent="0.5">
      <c r="A392" s="139"/>
      <c r="B392" s="99"/>
      <c r="C392" s="31" t="str">
        <f>"PXI-2510-2/dut" &amp; D392</f>
        <v>PXI-2510-2/dut32</v>
      </c>
      <c r="D392" s="31">
        <f t="shared" si="167"/>
        <v>32</v>
      </c>
      <c r="E392" s="31" t="str">
        <f t="shared" si="169"/>
        <v>FIU</v>
      </c>
      <c r="F392" s="31" t="str">
        <f t="shared" si="169"/>
        <v>TBD</v>
      </c>
      <c r="G392" s="31" t="str">
        <f t="shared" si="170"/>
        <v>None</v>
      </c>
      <c r="H392" s="42" t="s">
        <v>28</v>
      </c>
      <c r="I392" s="59" t="str">
        <f>"IO" &amp; A389</f>
        <v>IO73</v>
      </c>
      <c r="J392" s="143"/>
      <c r="K392" s="146"/>
      <c r="L392" s="130"/>
      <c r="M392" s="133"/>
      <c r="N392" s="136"/>
    </row>
    <row r="393" spans="1:14" ht="15" customHeight="1" x14ac:dyDescent="0.45">
      <c r="A393" s="137">
        <f>A389+1</f>
        <v>74</v>
      </c>
      <c r="B393" s="140" t="str">
        <f>B389</f>
        <v>DO
DO: 0-Vsup</v>
      </c>
      <c r="C393" s="29" t="str">
        <f>"PXIe-7820R/DIO" &amp; D393</f>
        <v>PXIe-7820R/DIO41</v>
      </c>
      <c r="D393" s="29">
        <f t="shared" ref="D393:D420" si="171">D389+1</f>
        <v>41</v>
      </c>
      <c r="E393" s="55" t="str">
        <f t="shared" si="169"/>
        <v>FPGA DO (PWM Gen.)</v>
      </c>
      <c r="F393" s="55" t="str">
        <f t="shared" si="169"/>
        <v>PWM_FR</v>
      </c>
      <c r="G393" s="29" t="str">
        <f t="shared" si="170"/>
        <v>ATE/IO74/PWM_FR</v>
      </c>
      <c r="H393" s="83" t="str">
        <f>Paths!$B$2 &amp; I393 &amp; Paths!$B$6</f>
        <v>Targets/Controller/Custom Devices/FPGA Addon/Scalars/Scalar Outputs/PWM.Out.IO74/FREQ</v>
      </c>
      <c r="I393" s="32" t="str">
        <f>"IO" &amp; A393</f>
        <v>IO74</v>
      </c>
      <c r="J393" s="141" t="s">
        <v>6</v>
      </c>
      <c r="K393" s="144" t="s">
        <v>7</v>
      </c>
      <c r="L393" s="128"/>
      <c r="M393" s="131"/>
      <c r="N393" s="134"/>
    </row>
    <row r="394" spans="1:14" x14ac:dyDescent="0.45">
      <c r="A394" s="138"/>
      <c r="B394" s="98"/>
      <c r="C394" s="30" t="str">
        <f>"PXIe-7820R/DIO" &amp; D394</f>
        <v>PXIe-7820R/DIO41</v>
      </c>
      <c r="D394" s="30">
        <f t="shared" si="171"/>
        <v>41</v>
      </c>
      <c r="E394" s="30" t="str">
        <f t="shared" si="169"/>
        <v>FPGA DO (PWM Gen.)</v>
      </c>
      <c r="F394" s="30" t="str">
        <f t="shared" si="169"/>
        <v>PWM_DC</v>
      </c>
      <c r="G394" s="30" t="str">
        <f t="shared" si="170"/>
        <v>ATE/IO74/PWM_DC</v>
      </c>
      <c r="H394" s="84" t="str">
        <f>Paths!$B$2 &amp; I394 &amp; Paths!$B$7</f>
        <v>Targets/Controller/Custom Devices/FPGA Addon/Scalars/Scalar Outputs/PWM.Out.IO74/DC</v>
      </c>
      <c r="I394" s="58" t="str">
        <f>"IO" &amp; A393</f>
        <v>IO74</v>
      </c>
      <c r="J394" s="142"/>
      <c r="K394" s="145"/>
      <c r="L394" s="129"/>
      <c r="M394" s="132"/>
      <c r="N394" s="135"/>
    </row>
    <row r="395" spans="1:14" x14ac:dyDescent="0.45">
      <c r="A395" s="138"/>
      <c r="B395" s="98"/>
      <c r="C395" s="30" t="str">
        <f>"SLSC-12201-2/P" &amp; ROUNDDOWN(D395/8,0) &amp; "." &amp; MOD(D395,8)</f>
        <v>SLSC-12201-2/P1.1</v>
      </c>
      <c r="D395" s="30">
        <f t="shared" si="171"/>
        <v>9</v>
      </c>
      <c r="E395" s="30" t="str">
        <f t="shared" si="169"/>
        <v>Output Push-Pull</v>
      </c>
      <c r="F395" s="30" t="str">
        <f t="shared" si="169"/>
        <v>None</v>
      </c>
      <c r="G395" s="30" t="str">
        <f t="shared" si="170"/>
        <v>None</v>
      </c>
      <c r="H395" s="41" t="str">
        <f>Paths!$B$20 &amp; "Bank " &amp; ROUNDDOWN(D395/16,0) &amp; "/Port " &amp; ROUNDDOWN(D395/8,0) &amp; "/Line " &amp;MOD(D395,8) &amp;"/Direction"</f>
        <v>Targets/Controller/Hardware/SLSC/SLSC Chassis/Modules/Slot 9 (SLSC-12201 DIO)/Bank 0/Port 1/Line 1/Direction</v>
      </c>
      <c r="I395" s="58" t="str">
        <f>"IO" &amp; A393</f>
        <v>IO74</v>
      </c>
      <c r="J395" s="142"/>
      <c r="K395" s="145"/>
      <c r="L395" s="147"/>
      <c r="M395" s="148"/>
      <c r="N395" s="149"/>
    </row>
    <row r="396" spans="1:14" ht="14.65" thickBot="1" x14ac:dyDescent="0.5">
      <c r="A396" s="139"/>
      <c r="B396" s="99"/>
      <c r="C396" s="31" t="str">
        <f>"PXI-2510-2/dut" &amp; D396</f>
        <v>PXI-2510-2/dut33</v>
      </c>
      <c r="D396" s="31">
        <f t="shared" si="171"/>
        <v>33</v>
      </c>
      <c r="E396" s="31" t="str">
        <f t="shared" si="169"/>
        <v>FIU</v>
      </c>
      <c r="F396" s="31" t="str">
        <f t="shared" si="169"/>
        <v>TBD</v>
      </c>
      <c r="G396" s="31" t="str">
        <f t="shared" si="170"/>
        <v>None</v>
      </c>
      <c r="H396" s="42" t="s">
        <v>28</v>
      </c>
      <c r="I396" s="59" t="str">
        <f>"IO" &amp; A393</f>
        <v>IO74</v>
      </c>
      <c r="J396" s="143"/>
      <c r="K396" s="146"/>
      <c r="L396" s="130"/>
      <c r="M396" s="133"/>
      <c r="N396" s="136"/>
    </row>
    <row r="397" spans="1:14" ht="15" customHeight="1" x14ac:dyDescent="0.45">
      <c r="A397" s="137">
        <f>A393+1</f>
        <v>75</v>
      </c>
      <c r="B397" s="140" t="str">
        <f>B393</f>
        <v>DO
DO: 0-Vsup</v>
      </c>
      <c r="C397" s="29" t="str">
        <f>"PXIe-7820R/DIO" &amp; D397</f>
        <v>PXIe-7820R/DIO42</v>
      </c>
      <c r="D397" s="29">
        <f t="shared" si="171"/>
        <v>42</v>
      </c>
      <c r="E397" s="55" t="str">
        <f t="shared" si="169"/>
        <v>FPGA DO (PWM Gen.)</v>
      </c>
      <c r="F397" s="55" t="str">
        <f t="shared" si="169"/>
        <v>PWM_FR</v>
      </c>
      <c r="G397" s="29" t="str">
        <f t="shared" si="170"/>
        <v>ATE/IO75/PWM_FR</v>
      </c>
      <c r="H397" s="83" t="str">
        <f>Paths!$B$2 &amp; I397 &amp; Paths!$B$6</f>
        <v>Targets/Controller/Custom Devices/FPGA Addon/Scalars/Scalar Outputs/PWM.Out.IO75/FREQ</v>
      </c>
      <c r="I397" s="32" t="str">
        <f>"IO" &amp; A397</f>
        <v>IO75</v>
      </c>
      <c r="J397" s="141" t="s">
        <v>6</v>
      </c>
      <c r="K397" s="144" t="s">
        <v>7</v>
      </c>
      <c r="L397" s="128"/>
      <c r="M397" s="131"/>
      <c r="N397" s="134"/>
    </row>
    <row r="398" spans="1:14" x14ac:dyDescent="0.45">
      <c r="A398" s="138"/>
      <c r="B398" s="98"/>
      <c r="C398" s="30" t="str">
        <f>"PXIe-7820R/DIO" &amp; D398</f>
        <v>PXIe-7820R/DIO42</v>
      </c>
      <c r="D398" s="30">
        <f t="shared" si="171"/>
        <v>42</v>
      </c>
      <c r="E398" s="30" t="str">
        <f t="shared" si="169"/>
        <v>FPGA DO (PWM Gen.)</v>
      </c>
      <c r="F398" s="30" t="str">
        <f t="shared" si="169"/>
        <v>PWM_DC</v>
      </c>
      <c r="G398" s="30" t="str">
        <f t="shared" si="170"/>
        <v>ATE/IO75/PWM_DC</v>
      </c>
      <c r="H398" s="84" t="str">
        <f>Paths!$B$2 &amp; I398 &amp; Paths!$B$7</f>
        <v>Targets/Controller/Custom Devices/FPGA Addon/Scalars/Scalar Outputs/PWM.Out.IO75/DC</v>
      </c>
      <c r="I398" s="58" t="str">
        <f>"IO" &amp; A397</f>
        <v>IO75</v>
      </c>
      <c r="J398" s="142"/>
      <c r="K398" s="145"/>
      <c r="L398" s="129"/>
      <c r="M398" s="132"/>
      <c r="N398" s="135"/>
    </row>
    <row r="399" spans="1:14" x14ac:dyDescent="0.45">
      <c r="A399" s="138"/>
      <c r="B399" s="98"/>
      <c r="C399" s="30" t="str">
        <f>"SLSC-12201-2/P" &amp; ROUNDDOWN(D399/8,0) &amp; "." &amp; MOD(D399,8)</f>
        <v>SLSC-12201-2/P1.2</v>
      </c>
      <c r="D399" s="30">
        <f t="shared" si="171"/>
        <v>10</v>
      </c>
      <c r="E399" s="30" t="str">
        <f t="shared" si="169"/>
        <v>Output Push-Pull</v>
      </c>
      <c r="F399" s="30" t="str">
        <f t="shared" si="169"/>
        <v>None</v>
      </c>
      <c r="G399" s="30" t="str">
        <f t="shared" si="170"/>
        <v>None</v>
      </c>
      <c r="H399" s="41" t="str">
        <f>Paths!$B$20 &amp; "Bank " &amp; ROUNDDOWN(D399/16,0) &amp; "/Port " &amp; ROUNDDOWN(D399/8,0) &amp; "/Line " &amp;MOD(D399,8) &amp;"/Direction"</f>
        <v>Targets/Controller/Hardware/SLSC/SLSC Chassis/Modules/Slot 9 (SLSC-12201 DIO)/Bank 0/Port 1/Line 2/Direction</v>
      </c>
      <c r="I399" s="58" t="str">
        <f>"IO" &amp; A397</f>
        <v>IO75</v>
      </c>
      <c r="J399" s="142"/>
      <c r="K399" s="145"/>
      <c r="L399" s="147"/>
      <c r="M399" s="148"/>
      <c r="N399" s="149"/>
    </row>
    <row r="400" spans="1:14" ht="14.65" thickBot="1" x14ac:dyDescent="0.5">
      <c r="A400" s="139"/>
      <c r="B400" s="99"/>
      <c r="C400" s="31" t="str">
        <f>"PXI-2510-2/dut" &amp; D400</f>
        <v>PXI-2510-2/dut34</v>
      </c>
      <c r="D400" s="31">
        <f t="shared" si="171"/>
        <v>34</v>
      </c>
      <c r="E400" s="31" t="str">
        <f t="shared" si="169"/>
        <v>FIU</v>
      </c>
      <c r="F400" s="31" t="str">
        <f t="shared" si="169"/>
        <v>TBD</v>
      </c>
      <c r="G400" s="31" t="str">
        <f t="shared" si="170"/>
        <v>None</v>
      </c>
      <c r="H400" s="42" t="s">
        <v>28</v>
      </c>
      <c r="I400" s="59" t="str">
        <f>"IO" &amp; A397</f>
        <v>IO75</v>
      </c>
      <c r="J400" s="143"/>
      <c r="K400" s="146"/>
      <c r="L400" s="130"/>
      <c r="M400" s="133"/>
      <c r="N400" s="136"/>
    </row>
    <row r="401" spans="1:14" ht="15" customHeight="1" x14ac:dyDescent="0.45">
      <c r="A401" s="137">
        <f>A397+1</f>
        <v>76</v>
      </c>
      <c r="B401" s="140" t="str">
        <f>B397</f>
        <v>DO
DO: 0-Vsup</v>
      </c>
      <c r="C401" s="29" t="str">
        <f>"PXIe-7820R/DIO" &amp; D401</f>
        <v>PXIe-7820R/DIO43</v>
      </c>
      <c r="D401" s="29">
        <f t="shared" si="171"/>
        <v>43</v>
      </c>
      <c r="E401" s="55" t="str">
        <f t="shared" ref="E401:F420" si="172">E397</f>
        <v>FPGA DO (PWM Gen.)</v>
      </c>
      <c r="F401" s="55" t="str">
        <f t="shared" si="172"/>
        <v>PWM_FR</v>
      </c>
      <c r="G401" s="29" t="str">
        <f t="shared" si="170"/>
        <v>ATE/IO76/PWM_FR</v>
      </c>
      <c r="H401" s="83" t="str">
        <f>Paths!$B$2 &amp; I401 &amp; Paths!$B$6</f>
        <v>Targets/Controller/Custom Devices/FPGA Addon/Scalars/Scalar Outputs/PWM.Out.IO76/FREQ</v>
      </c>
      <c r="I401" s="32" t="str">
        <f>"IO" &amp; A401</f>
        <v>IO76</v>
      </c>
      <c r="J401" s="141" t="s">
        <v>6</v>
      </c>
      <c r="K401" s="144" t="s">
        <v>7</v>
      </c>
      <c r="L401" s="128"/>
      <c r="M401" s="131"/>
      <c r="N401" s="134"/>
    </row>
    <row r="402" spans="1:14" x14ac:dyDescent="0.45">
      <c r="A402" s="138"/>
      <c r="B402" s="98"/>
      <c r="C402" s="30" t="str">
        <f>"PXIe-7820R/DIO" &amp; D402</f>
        <v>PXIe-7820R/DIO43</v>
      </c>
      <c r="D402" s="30">
        <f t="shared" si="171"/>
        <v>43</v>
      </c>
      <c r="E402" s="30" t="str">
        <f t="shared" si="172"/>
        <v>FPGA DO (PWM Gen.)</v>
      </c>
      <c r="F402" s="30" t="str">
        <f t="shared" si="172"/>
        <v>PWM_DC</v>
      </c>
      <c r="G402" s="30" t="str">
        <f t="shared" si="170"/>
        <v>ATE/IO76/PWM_DC</v>
      </c>
      <c r="H402" s="84" t="str">
        <f>Paths!$B$2 &amp; I402 &amp; Paths!$B$7</f>
        <v>Targets/Controller/Custom Devices/FPGA Addon/Scalars/Scalar Outputs/PWM.Out.IO76/DC</v>
      </c>
      <c r="I402" s="58" t="str">
        <f>"IO" &amp; A401</f>
        <v>IO76</v>
      </c>
      <c r="J402" s="142"/>
      <c r="K402" s="145"/>
      <c r="L402" s="129"/>
      <c r="M402" s="132"/>
      <c r="N402" s="135"/>
    </row>
    <row r="403" spans="1:14" x14ac:dyDescent="0.45">
      <c r="A403" s="138"/>
      <c r="B403" s="98"/>
      <c r="C403" s="30" t="str">
        <f>"SLSC-12201-2/P" &amp; ROUNDDOWN(D403/8,0) &amp; "." &amp; MOD(D403,8)</f>
        <v>SLSC-12201-2/P1.3</v>
      </c>
      <c r="D403" s="30">
        <f t="shared" si="171"/>
        <v>11</v>
      </c>
      <c r="E403" s="30" t="str">
        <f t="shared" si="172"/>
        <v>Output Push-Pull</v>
      </c>
      <c r="F403" s="30" t="str">
        <f t="shared" si="172"/>
        <v>None</v>
      </c>
      <c r="G403" s="30" t="str">
        <f t="shared" si="170"/>
        <v>None</v>
      </c>
      <c r="H403" s="41" t="str">
        <f>Paths!$B$20 &amp; "Bank " &amp; ROUNDDOWN(D403/16,0) &amp; "/Port " &amp; ROUNDDOWN(D403/8,0) &amp; "/Line " &amp;MOD(D403,8) &amp;"/Direction"</f>
        <v>Targets/Controller/Hardware/SLSC/SLSC Chassis/Modules/Slot 9 (SLSC-12201 DIO)/Bank 0/Port 1/Line 3/Direction</v>
      </c>
      <c r="I403" s="58" t="str">
        <f>"IO" &amp; A401</f>
        <v>IO76</v>
      </c>
      <c r="J403" s="142"/>
      <c r="K403" s="145"/>
      <c r="L403" s="147"/>
      <c r="M403" s="148"/>
      <c r="N403" s="149"/>
    </row>
    <row r="404" spans="1:14" ht="14.65" thickBot="1" x14ac:dyDescent="0.5">
      <c r="A404" s="139"/>
      <c r="B404" s="99"/>
      <c r="C404" s="31" t="str">
        <f>"PXI-2510-2/dut" &amp; D404</f>
        <v>PXI-2510-2/dut35</v>
      </c>
      <c r="D404" s="31">
        <f t="shared" si="171"/>
        <v>35</v>
      </c>
      <c r="E404" s="31" t="str">
        <f t="shared" si="172"/>
        <v>FIU</v>
      </c>
      <c r="F404" s="31" t="str">
        <f t="shared" si="172"/>
        <v>TBD</v>
      </c>
      <c r="G404" s="31" t="str">
        <f t="shared" si="170"/>
        <v>None</v>
      </c>
      <c r="H404" s="42" t="s">
        <v>28</v>
      </c>
      <c r="I404" s="59" t="str">
        <f>"IO" &amp; A401</f>
        <v>IO76</v>
      </c>
      <c r="J404" s="143"/>
      <c r="K404" s="146"/>
      <c r="L404" s="130"/>
      <c r="M404" s="133"/>
      <c r="N404" s="136"/>
    </row>
    <row r="405" spans="1:14" ht="15" customHeight="1" x14ac:dyDescent="0.45">
      <c r="A405" s="137">
        <f>A401+1</f>
        <v>77</v>
      </c>
      <c r="B405" s="140" t="str">
        <f>B401</f>
        <v>DO
DO: 0-Vsup</v>
      </c>
      <c r="C405" s="29" t="str">
        <f>"PXIe-7820R/DIO" &amp; D405</f>
        <v>PXIe-7820R/DIO44</v>
      </c>
      <c r="D405" s="29">
        <f t="shared" si="171"/>
        <v>44</v>
      </c>
      <c r="E405" s="55" t="str">
        <f t="shared" si="172"/>
        <v>FPGA DO (PWM Gen.)</v>
      </c>
      <c r="F405" s="55" t="str">
        <f t="shared" si="172"/>
        <v>PWM_FR</v>
      </c>
      <c r="G405" s="29" t="str">
        <f t="shared" si="170"/>
        <v>ATE/IO77/PWM_FR</v>
      </c>
      <c r="H405" s="83" t="str">
        <f>Paths!$B$2 &amp; I405 &amp; Paths!$B$6</f>
        <v>Targets/Controller/Custom Devices/FPGA Addon/Scalars/Scalar Outputs/PWM.Out.IO77/FREQ</v>
      </c>
      <c r="I405" s="32" t="str">
        <f>"IO" &amp; A405</f>
        <v>IO77</v>
      </c>
      <c r="J405" s="141" t="s">
        <v>6</v>
      </c>
      <c r="K405" s="144" t="s">
        <v>7</v>
      </c>
      <c r="L405" s="128"/>
      <c r="M405" s="131"/>
      <c r="N405" s="134"/>
    </row>
    <row r="406" spans="1:14" x14ac:dyDescent="0.45">
      <c r="A406" s="138"/>
      <c r="B406" s="98"/>
      <c r="C406" s="30" t="str">
        <f>"PXIe-7820R/DIO" &amp; D406</f>
        <v>PXIe-7820R/DIO44</v>
      </c>
      <c r="D406" s="30">
        <f t="shared" si="171"/>
        <v>44</v>
      </c>
      <c r="E406" s="30" t="str">
        <f t="shared" si="172"/>
        <v>FPGA DO (PWM Gen.)</v>
      </c>
      <c r="F406" s="30" t="str">
        <f t="shared" si="172"/>
        <v>PWM_DC</v>
      </c>
      <c r="G406" s="30" t="str">
        <f t="shared" si="170"/>
        <v>ATE/IO77/PWM_DC</v>
      </c>
      <c r="H406" s="84" t="str">
        <f>Paths!$B$2 &amp; I406 &amp; Paths!$B$7</f>
        <v>Targets/Controller/Custom Devices/FPGA Addon/Scalars/Scalar Outputs/PWM.Out.IO77/DC</v>
      </c>
      <c r="I406" s="58" t="str">
        <f>"IO" &amp; A405</f>
        <v>IO77</v>
      </c>
      <c r="J406" s="142"/>
      <c r="K406" s="145"/>
      <c r="L406" s="129"/>
      <c r="M406" s="132"/>
      <c r="N406" s="135"/>
    </row>
    <row r="407" spans="1:14" x14ac:dyDescent="0.45">
      <c r="A407" s="138"/>
      <c r="B407" s="98"/>
      <c r="C407" s="30" t="str">
        <f>"SLSC-12201-2/P" &amp; ROUNDDOWN(D407/8,0) &amp; "." &amp; MOD(D407,8)</f>
        <v>SLSC-12201-2/P1.4</v>
      </c>
      <c r="D407" s="30">
        <f t="shared" si="171"/>
        <v>12</v>
      </c>
      <c r="E407" s="30" t="str">
        <f t="shared" si="172"/>
        <v>Output Push-Pull</v>
      </c>
      <c r="F407" s="30" t="str">
        <f t="shared" si="172"/>
        <v>None</v>
      </c>
      <c r="G407" s="30" t="str">
        <f t="shared" si="170"/>
        <v>None</v>
      </c>
      <c r="H407" s="41" t="str">
        <f>Paths!$B$20 &amp; "Bank " &amp; ROUNDDOWN(D407/16,0) &amp; "/Port " &amp; ROUNDDOWN(D407/8,0) &amp; "/Line " &amp;MOD(D407,8) &amp;"/Direction"</f>
        <v>Targets/Controller/Hardware/SLSC/SLSC Chassis/Modules/Slot 9 (SLSC-12201 DIO)/Bank 0/Port 1/Line 4/Direction</v>
      </c>
      <c r="I407" s="58" t="str">
        <f>"IO" &amp; A405</f>
        <v>IO77</v>
      </c>
      <c r="J407" s="142"/>
      <c r="K407" s="145"/>
      <c r="L407" s="147"/>
      <c r="M407" s="148"/>
      <c r="N407" s="149"/>
    </row>
    <row r="408" spans="1:14" ht="14.65" thickBot="1" x14ac:dyDescent="0.5">
      <c r="A408" s="139"/>
      <c r="B408" s="99"/>
      <c r="C408" s="31" t="str">
        <f>"PXI-2510-2/dut" &amp; D408</f>
        <v>PXI-2510-2/dut36</v>
      </c>
      <c r="D408" s="31">
        <f t="shared" si="171"/>
        <v>36</v>
      </c>
      <c r="E408" s="31" t="str">
        <f t="shared" si="172"/>
        <v>FIU</v>
      </c>
      <c r="F408" s="31" t="str">
        <f t="shared" si="172"/>
        <v>TBD</v>
      </c>
      <c r="G408" s="31" t="str">
        <f t="shared" si="170"/>
        <v>None</v>
      </c>
      <c r="H408" s="42" t="s">
        <v>28</v>
      </c>
      <c r="I408" s="59" t="str">
        <f>"IO" &amp; A405</f>
        <v>IO77</v>
      </c>
      <c r="J408" s="143"/>
      <c r="K408" s="146"/>
      <c r="L408" s="130"/>
      <c r="M408" s="133"/>
      <c r="N408" s="136"/>
    </row>
    <row r="409" spans="1:14" ht="15" customHeight="1" x14ac:dyDescent="0.45">
      <c r="A409" s="137">
        <f>A405+1</f>
        <v>78</v>
      </c>
      <c r="B409" s="140" t="str">
        <f>B405</f>
        <v>DO
DO: 0-Vsup</v>
      </c>
      <c r="C409" s="29" t="str">
        <f>"PXIe-7820R/DIO" &amp; D409</f>
        <v>PXIe-7820R/DIO45</v>
      </c>
      <c r="D409" s="29">
        <f t="shared" si="171"/>
        <v>45</v>
      </c>
      <c r="E409" s="55" t="str">
        <f t="shared" si="172"/>
        <v>FPGA DO (PWM Gen.)</v>
      </c>
      <c r="F409" s="55" t="str">
        <f t="shared" si="172"/>
        <v>PWM_FR</v>
      </c>
      <c r="G409" s="29" t="str">
        <f t="shared" si="170"/>
        <v>ATE/IO78/PWM_FR</v>
      </c>
      <c r="H409" s="83" t="str">
        <f>Paths!$B$2 &amp; I409 &amp; Paths!$B$6</f>
        <v>Targets/Controller/Custom Devices/FPGA Addon/Scalars/Scalar Outputs/PWM.Out.IO78/FREQ</v>
      </c>
      <c r="I409" s="32" t="str">
        <f>"IO" &amp; A409</f>
        <v>IO78</v>
      </c>
      <c r="J409" s="141" t="s">
        <v>6</v>
      </c>
      <c r="K409" s="144" t="s">
        <v>7</v>
      </c>
      <c r="L409" s="128"/>
      <c r="M409" s="131"/>
      <c r="N409" s="134"/>
    </row>
    <row r="410" spans="1:14" x14ac:dyDescent="0.45">
      <c r="A410" s="138"/>
      <c r="B410" s="98"/>
      <c r="C410" s="30" t="str">
        <f>"PXIe-7820R/DIO" &amp; D410</f>
        <v>PXIe-7820R/DIO45</v>
      </c>
      <c r="D410" s="30">
        <f t="shared" si="171"/>
        <v>45</v>
      </c>
      <c r="E410" s="30" t="str">
        <f t="shared" si="172"/>
        <v>FPGA DO (PWM Gen.)</v>
      </c>
      <c r="F410" s="30" t="str">
        <f t="shared" si="172"/>
        <v>PWM_DC</v>
      </c>
      <c r="G410" s="30" t="str">
        <f t="shared" si="170"/>
        <v>ATE/IO78/PWM_DC</v>
      </c>
      <c r="H410" s="84" t="str">
        <f>Paths!$B$2 &amp; I410 &amp; Paths!$B$7</f>
        <v>Targets/Controller/Custom Devices/FPGA Addon/Scalars/Scalar Outputs/PWM.Out.IO78/DC</v>
      </c>
      <c r="I410" s="58" t="str">
        <f>"IO" &amp; A409</f>
        <v>IO78</v>
      </c>
      <c r="J410" s="142"/>
      <c r="K410" s="145"/>
      <c r="L410" s="129"/>
      <c r="M410" s="132"/>
      <c r="N410" s="135"/>
    </row>
    <row r="411" spans="1:14" x14ac:dyDescent="0.45">
      <c r="A411" s="138"/>
      <c r="B411" s="98"/>
      <c r="C411" s="30" t="str">
        <f>"SLSC-12201-2/P" &amp; ROUNDDOWN(D411/8,0) &amp; "." &amp; MOD(D411,8)</f>
        <v>SLSC-12201-2/P1.5</v>
      </c>
      <c r="D411" s="30">
        <f t="shared" si="171"/>
        <v>13</v>
      </c>
      <c r="E411" s="30" t="str">
        <f t="shared" si="172"/>
        <v>Output Push-Pull</v>
      </c>
      <c r="F411" s="30" t="str">
        <f t="shared" si="172"/>
        <v>None</v>
      </c>
      <c r="G411" s="30" t="str">
        <f t="shared" si="170"/>
        <v>None</v>
      </c>
      <c r="H411" s="41" t="str">
        <f>Paths!$B$20 &amp; "Bank " &amp; ROUNDDOWN(D411/16,0) &amp; "/Port " &amp; ROUNDDOWN(D411/8,0) &amp; "/Line " &amp;MOD(D411,8) &amp;"/Direction"</f>
        <v>Targets/Controller/Hardware/SLSC/SLSC Chassis/Modules/Slot 9 (SLSC-12201 DIO)/Bank 0/Port 1/Line 5/Direction</v>
      </c>
      <c r="I411" s="58" t="str">
        <f>"IO" &amp; A409</f>
        <v>IO78</v>
      </c>
      <c r="J411" s="142"/>
      <c r="K411" s="145"/>
      <c r="L411" s="147"/>
      <c r="M411" s="148"/>
      <c r="N411" s="149"/>
    </row>
    <row r="412" spans="1:14" ht="14.65" thickBot="1" x14ac:dyDescent="0.5">
      <c r="A412" s="139"/>
      <c r="B412" s="99"/>
      <c r="C412" s="31" t="str">
        <f>"PXI-2510-2/dut" &amp; D412</f>
        <v>PXI-2510-2/dut37</v>
      </c>
      <c r="D412" s="31">
        <f t="shared" si="171"/>
        <v>37</v>
      </c>
      <c r="E412" s="31" t="str">
        <f t="shared" si="172"/>
        <v>FIU</v>
      </c>
      <c r="F412" s="31" t="str">
        <f t="shared" si="172"/>
        <v>TBD</v>
      </c>
      <c r="G412" s="31" t="str">
        <f t="shared" si="170"/>
        <v>None</v>
      </c>
      <c r="H412" s="42" t="s">
        <v>28</v>
      </c>
      <c r="I412" s="59" t="str">
        <f>"IO" &amp; A409</f>
        <v>IO78</v>
      </c>
      <c r="J412" s="143"/>
      <c r="K412" s="146"/>
      <c r="L412" s="130"/>
      <c r="M412" s="133"/>
      <c r="N412" s="136"/>
    </row>
    <row r="413" spans="1:14" ht="15" customHeight="1" x14ac:dyDescent="0.45">
      <c r="A413" s="137">
        <f>A409+1</f>
        <v>79</v>
      </c>
      <c r="B413" s="140" t="str">
        <f>B409</f>
        <v>DO
DO: 0-Vsup</v>
      </c>
      <c r="C413" s="29" t="str">
        <f>"PXIe-7820R/DIO" &amp; D413</f>
        <v>PXIe-7820R/DIO46</v>
      </c>
      <c r="D413" s="29">
        <f t="shared" si="171"/>
        <v>46</v>
      </c>
      <c r="E413" s="55" t="str">
        <f t="shared" si="172"/>
        <v>FPGA DO (PWM Gen.)</v>
      </c>
      <c r="F413" s="55" t="str">
        <f t="shared" si="172"/>
        <v>PWM_FR</v>
      </c>
      <c r="G413" s="29" t="str">
        <f t="shared" si="170"/>
        <v>ATE/IO79/PWM_FR</v>
      </c>
      <c r="H413" s="83" t="str">
        <f>Paths!$B$2 &amp; I413 &amp; Paths!$B$6</f>
        <v>Targets/Controller/Custom Devices/FPGA Addon/Scalars/Scalar Outputs/PWM.Out.IO79/FREQ</v>
      </c>
      <c r="I413" s="32" t="str">
        <f>"IO" &amp; A413</f>
        <v>IO79</v>
      </c>
      <c r="J413" s="141" t="s">
        <v>6</v>
      </c>
      <c r="K413" s="144" t="s">
        <v>7</v>
      </c>
      <c r="L413" s="128"/>
      <c r="M413" s="131"/>
      <c r="N413" s="134"/>
    </row>
    <row r="414" spans="1:14" x14ac:dyDescent="0.45">
      <c r="A414" s="138"/>
      <c r="B414" s="98"/>
      <c r="C414" s="30" t="str">
        <f>"PXIe-7820R/DIO" &amp; D414</f>
        <v>PXIe-7820R/DIO46</v>
      </c>
      <c r="D414" s="30">
        <f t="shared" si="171"/>
        <v>46</v>
      </c>
      <c r="E414" s="30" t="str">
        <f t="shared" si="172"/>
        <v>FPGA DO (PWM Gen.)</v>
      </c>
      <c r="F414" s="30" t="str">
        <f t="shared" si="172"/>
        <v>PWM_DC</v>
      </c>
      <c r="G414" s="30" t="str">
        <f t="shared" si="170"/>
        <v>ATE/IO79/PWM_DC</v>
      </c>
      <c r="H414" s="84" t="str">
        <f>Paths!$B$2 &amp; I414 &amp; Paths!$B$7</f>
        <v>Targets/Controller/Custom Devices/FPGA Addon/Scalars/Scalar Outputs/PWM.Out.IO79/DC</v>
      </c>
      <c r="I414" s="58" t="str">
        <f>"IO" &amp; A413</f>
        <v>IO79</v>
      </c>
      <c r="J414" s="142"/>
      <c r="K414" s="145"/>
      <c r="L414" s="129"/>
      <c r="M414" s="132"/>
      <c r="N414" s="135"/>
    </row>
    <row r="415" spans="1:14" x14ac:dyDescent="0.45">
      <c r="A415" s="138"/>
      <c r="B415" s="98"/>
      <c r="C415" s="30" t="str">
        <f>"SLSC-12201-2/P" &amp; ROUNDDOWN(D415/8,0) &amp; "." &amp; MOD(D415,8)</f>
        <v>SLSC-12201-2/P1.6</v>
      </c>
      <c r="D415" s="30">
        <f t="shared" si="171"/>
        <v>14</v>
      </c>
      <c r="E415" s="30" t="str">
        <f t="shared" si="172"/>
        <v>Output Push-Pull</v>
      </c>
      <c r="F415" s="30" t="str">
        <f t="shared" si="172"/>
        <v>None</v>
      </c>
      <c r="G415" s="30" t="str">
        <f t="shared" si="170"/>
        <v>None</v>
      </c>
      <c r="H415" s="41" t="str">
        <f>Paths!$B$20 &amp; "Bank " &amp; ROUNDDOWN(D415/16,0) &amp; "/Port " &amp; ROUNDDOWN(D415/8,0) &amp; "/Line " &amp;MOD(D415,8) &amp;"/Direction"</f>
        <v>Targets/Controller/Hardware/SLSC/SLSC Chassis/Modules/Slot 9 (SLSC-12201 DIO)/Bank 0/Port 1/Line 6/Direction</v>
      </c>
      <c r="I415" s="58" t="str">
        <f>"IO" &amp; A413</f>
        <v>IO79</v>
      </c>
      <c r="J415" s="142"/>
      <c r="K415" s="145"/>
      <c r="L415" s="147"/>
      <c r="M415" s="148"/>
      <c r="N415" s="149"/>
    </row>
    <row r="416" spans="1:14" ht="14.65" thickBot="1" x14ac:dyDescent="0.5">
      <c r="A416" s="139"/>
      <c r="B416" s="99"/>
      <c r="C416" s="31" t="str">
        <f>"PXI-2510-2/dut" &amp; D416</f>
        <v>PXI-2510-2/dut38</v>
      </c>
      <c r="D416" s="31">
        <f t="shared" si="171"/>
        <v>38</v>
      </c>
      <c r="E416" s="31" t="str">
        <f t="shared" si="172"/>
        <v>FIU</v>
      </c>
      <c r="F416" s="31" t="str">
        <f t="shared" si="172"/>
        <v>TBD</v>
      </c>
      <c r="G416" s="31" t="str">
        <f t="shared" si="170"/>
        <v>None</v>
      </c>
      <c r="H416" s="42" t="s">
        <v>28</v>
      </c>
      <c r="I416" s="59" t="str">
        <f>"IO" &amp; A413</f>
        <v>IO79</v>
      </c>
      <c r="J416" s="143"/>
      <c r="K416" s="146"/>
      <c r="L416" s="130"/>
      <c r="M416" s="133"/>
      <c r="N416" s="136"/>
    </row>
    <row r="417" spans="1:14" ht="15" customHeight="1" x14ac:dyDescent="0.45">
      <c r="A417" s="137">
        <f>A413+1</f>
        <v>80</v>
      </c>
      <c r="B417" s="140" t="str">
        <f>B413</f>
        <v>DO
DO: 0-Vsup</v>
      </c>
      <c r="C417" s="29" t="str">
        <f>"PXIe-7820R/DIO" &amp; D417</f>
        <v>PXIe-7820R/DIO47</v>
      </c>
      <c r="D417" s="29">
        <f t="shared" si="171"/>
        <v>47</v>
      </c>
      <c r="E417" s="55" t="str">
        <f t="shared" si="172"/>
        <v>FPGA DO (PWM Gen.)</v>
      </c>
      <c r="F417" s="55" t="str">
        <f t="shared" si="172"/>
        <v>PWM_FR</v>
      </c>
      <c r="G417" s="29" t="str">
        <f t="shared" si="170"/>
        <v>ATE/IO80/PWM_FR</v>
      </c>
      <c r="H417" s="83" t="str">
        <f>Paths!$B$2 &amp; I417 &amp; Paths!$B$6</f>
        <v>Targets/Controller/Custom Devices/FPGA Addon/Scalars/Scalar Outputs/PWM.Out.IO80/FREQ</v>
      </c>
      <c r="I417" s="32" t="str">
        <f>"IO" &amp; A417</f>
        <v>IO80</v>
      </c>
      <c r="J417" s="141" t="s">
        <v>6</v>
      </c>
      <c r="K417" s="144" t="s">
        <v>7</v>
      </c>
      <c r="L417" s="128"/>
      <c r="M417" s="131"/>
      <c r="N417" s="134"/>
    </row>
    <row r="418" spans="1:14" x14ac:dyDescent="0.45">
      <c r="A418" s="138"/>
      <c r="B418" s="98"/>
      <c r="C418" s="30" t="str">
        <f>"PXIe-7820R/DIO" &amp; D418</f>
        <v>PXIe-7820R/DIO47</v>
      </c>
      <c r="D418" s="30">
        <f t="shared" si="171"/>
        <v>47</v>
      </c>
      <c r="E418" s="30" t="str">
        <f t="shared" si="172"/>
        <v>FPGA DO (PWM Gen.)</v>
      </c>
      <c r="F418" s="30" t="str">
        <f t="shared" si="172"/>
        <v>PWM_DC</v>
      </c>
      <c r="G418" s="30" t="str">
        <f t="shared" si="170"/>
        <v>ATE/IO80/PWM_DC</v>
      </c>
      <c r="H418" s="84" t="str">
        <f>Paths!$B$2 &amp; I418 &amp; Paths!$B$7</f>
        <v>Targets/Controller/Custom Devices/FPGA Addon/Scalars/Scalar Outputs/PWM.Out.IO80/DC</v>
      </c>
      <c r="I418" s="58" t="str">
        <f>"IO" &amp; A417</f>
        <v>IO80</v>
      </c>
      <c r="J418" s="142"/>
      <c r="K418" s="145"/>
      <c r="L418" s="129"/>
      <c r="M418" s="132"/>
      <c r="N418" s="135"/>
    </row>
    <row r="419" spans="1:14" x14ac:dyDescent="0.45">
      <c r="A419" s="138"/>
      <c r="B419" s="98"/>
      <c r="C419" s="30" t="str">
        <f>"SLSC-12201-2/P" &amp; ROUNDDOWN(D419/8,0) &amp; "." &amp; MOD(D419,8)</f>
        <v>SLSC-12201-2/P1.7</v>
      </c>
      <c r="D419" s="30">
        <f t="shared" si="171"/>
        <v>15</v>
      </c>
      <c r="E419" s="30" t="str">
        <f t="shared" si="172"/>
        <v>Output Push-Pull</v>
      </c>
      <c r="F419" s="30" t="str">
        <f t="shared" si="172"/>
        <v>None</v>
      </c>
      <c r="G419" s="30" t="str">
        <f t="shared" si="170"/>
        <v>None</v>
      </c>
      <c r="H419" s="41" t="str">
        <f>Paths!$B$20 &amp; "Bank " &amp; ROUNDDOWN(D419/16,0) &amp; "/Port " &amp; ROUNDDOWN(D419/8,0) &amp; "/Line " &amp;MOD(D419,8) &amp;"/Direction"</f>
        <v>Targets/Controller/Hardware/SLSC/SLSC Chassis/Modules/Slot 9 (SLSC-12201 DIO)/Bank 0/Port 1/Line 7/Direction</v>
      </c>
      <c r="I419" s="58" t="str">
        <f>"IO" &amp; A417</f>
        <v>IO80</v>
      </c>
      <c r="J419" s="142"/>
      <c r="K419" s="145"/>
      <c r="L419" s="147"/>
      <c r="M419" s="148"/>
      <c r="N419" s="149"/>
    </row>
    <row r="420" spans="1:14" ht="14.65" thickBot="1" x14ac:dyDescent="0.5">
      <c r="A420" s="139"/>
      <c r="B420" s="99"/>
      <c r="C420" s="31" t="str">
        <f>"PXI-2510-2/dut" &amp; D420</f>
        <v>PXI-2510-2/dut39</v>
      </c>
      <c r="D420" s="31">
        <f t="shared" si="171"/>
        <v>39</v>
      </c>
      <c r="E420" s="31" t="str">
        <f t="shared" si="172"/>
        <v>FIU</v>
      </c>
      <c r="F420" s="31" t="str">
        <f t="shared" si="172"/>
        <v>TBD</v>
      </c>
      <c r="G420" s="31" t="str">
        <f t="shared" si="170"/>
        <v>None</v>
      </c>
      <c r="H420" s="42" t="s">
        <v>28</v>
      </c>
      <c r="I420" s="59" t="str">
        <f>"IO" &amp; A417</f>
        <v>IO80</v>
      </c>
      <c r="J420" s="143"/>
      <c r="K420" s="146"/>
      <c r="L420" s="130"/>
      <c r="M420" s="133"/>
      <c r="N420" s="136"/>
    </row>
    <row r="421" spans="1:14" ht="63" customHeight="1" thickBot="1" x14ac:dyDescent="0.5">
      <c r="C421" s="21"/>
      <c r="D421" s="21"/>
      <c r="E421" s="1"/>
      <c r="F421" s="1"/>
      <c r="G421" s="1"/>
      <c r="H421" s="1"/>
    </row>
    <row r="422" spans="1:14" ht="15" customHeight="1" x14ac:dyDescent="0.45">
      <c r="A422" s="137">
        <f>A417+1</f>
        <v>81</v>
      </c>
      <c r="B422" s="155" t="s">
        <v>80</v>
      </c>
      <c r="C422" s="29" t="str">
        <f>"PXIe-7820R/DIO" &amp; D422</f>
        <v>PXIe-7820R/DIO48</v>
      </c>
      <c r="D422" s="44">
        <v>48</v>
      </c>
      <c r="E422" s="54" t="s">
        <v>134</v>
      </c>
      <c r="F422" s="54" t="s">
        <v>55</v>
      </c>
      <c r="G422" s="29" t="str">
        <f t="shared" ref="G422:G453" si="173">IF(OR(F422="None",F422="TBD"),"None",_xlfn.CONCAT("ATE/",I422,"/",F422))</f>
        <v>ATE/IO81/DI</v>
      </c>
      <c r="H422" s="39" t="str">
        <f>Paths!$B$3 &amp; I422 &amp; Paths!$B$8</f>
        <v>Targets/Controller/Custom Devices/FPGA Addon/Scalars/Scalar Inputs/DI.IO81/STATE</v>
      </c>
      <c r="I422" s="32" t="str">
        <f>"IO" &amp; A422</f>
        <v>IO81</v>
      </c>
      <c r="J422" s="141" t="s">
        <v>6</v>
      </c>
      <c r="K422" s="144" t="s">
        <v>7</v>
      </c>
      <c r="L422" s="128"/>
      <c r="M422" s="131"/>
      <c r="N422" s="134"/>
    </row>
    <row r="423" spans="1:14" x14ac:dyDescent="0.45">
      <c r="A423" s="138"/>
      <c r="B423" s="151"/>
      <c r="C423" s="30" t="str">
        <f>"SLSC-12201-2/P" &amp; ROUNDDOWN(D423/8,0) &amp; "." &amp; MOD(D423,8)</f>
        <v>SLSC-12201-2/P2.0</v>
      </c>
      <c r="D423" s="45">
        <v>16</v>
      </c>
      <c r="E423" s="45" t="s">
        <v>12</v>
      </c>
      <c r="F423" s="45" t="s">
        <v>17</v>
      </c>
      <c r="G423" s="30" t="str">
        <f t="shared" si="173"/>
        <v>None</v>
      </c>
      <c r="H423" s="41" t="str">
        <f>Paths!$B$20 &amp; "Bank " &amp; ROUNDDOWN(D423/16,0) &amp; "/Port " &amp; ROUNDDOWN(D423/8,0) &amp; "/Line " &amp;MOD(D423,8) &amp;"/Direction"</f>
        <v>Targets/Controller/Hardware/SLSC/SLSC Chassis/Modules/Slot 9 (SLSC-12201 DIO)/Bank 1/Port 2/Line 0/Direction</v>
      </c>
      <c r="I423" s="58" t="str">
        <f>"IO" &amp; A422</f>
        <v>IO81</v>
      </c>
      <c r="J423" s="142"/>
      <c r="K423" s="145"/>
      <c r="L423" s="147"/>
      <c r="M423" s="148"/>
      <c r="N423" s="149"/>
    </row>
    <row r="424" spans="1:14" x14ac:dyDescent="0.45">
      <c r="A424" s="138"/>
      <c r="B424" s="151"/>
      <c r="C424" s="30" t="str">
        <f>"PXIe-6375/AI" &amp; D424</f>
        <v>PXIe-6375/AI16</v>
      </c>
      <c r="D424" s="67">
        <v>16</v>
      </c>
      <c r="E424" s="65" t="s">
        <v>67</v>
      </c>
      <c r="F424" s="65" t="s">
        <v>28</v>
      </c>
      <c r="G424" s="30" t="str">
        <f t="shared" si="173"/>
        <v>None</v>
      </c>
      <c r="H424" s="41" t="str">
        <f>Paths!$B$27 &amp; I424 &amp; Paths!$B$28</f>
        <v>Targets/Controller/Calculated Channels/ATE/IO81/AI</v>
      </c>
      <c r="I424" s="58" t="str">
        <f>"IO" &amp; A422</f>
        <v>IO81</v>
      </c>
      <c r="J424" s="142"/>
      <c r="K424" s="145"/>
      <c r="L424" s="147"/>
      <c r="M424" s="148"/>
      <c r="N424" s="149"/>
    </row>
    <row r="425" spans="1:14" ht="14.65" thickBot="1" x14ac:dyDescent="0.5">
      <c r="A425" s="139"/>
      <c r="B425" s="152"/>
      <c r="C425" s="31" t="str">
        <f>"PXI-2510-2/dut" &amp; D425</f>
        <v>PXI-2510-2/dut40</v>
      </c>
      <c r="D425" s="66">
        <v>40</v>
      </c>
      <c r="E425" s="46" t="s">
        <v>0</v>
      </c>
      <c r="F425" s="46" t="s">
        <v>28</v>
      </c>
      <c r="G425" s="31" t="str">
        <f t="shared" si="173"/>
        <v>None</v>
      </c>
      <c r="H425" s="42" t="s">
        <v>28</v>
      </c>
      <c r="I425" s="59" t="str">
        <f>"IO" &amp; A422</f>
        <v>IO81</v>
      </c>
      <c r="J425" s="143"/>
      <c r="K425" s="146"/>
      <c r="L425" s="130"/>
      <c r="M425" s="133"/>
      <c r="N425" s="136"/>
    </row>
    <row r="426" spans="1:14" ht="15" customHeight="1" x14ac:dyDescent="0.45">
      <c r="A426" s="137">
        <f>A422+1</f>
        <v>82</v>
      </c>
      <c r="B426" s="140" t="str">
        <f>B422</f>
        <v>LOW LOAD
DI: 0-60 V
AI: 0-60 V
EXT LOAD</v>
      </c>
      <c r="C426" s="29" t="str">
        <f>"PXIe-7820R/DIO" &amp; D426</f>
        <v>PXIe-7820R/DIO49</v>
      </c>
      <c r="D426" s="29">
        <f t="shared" ref="D426:D455" si="174">D422+1</f>
        <v>49</v>
      </c>
      <c r="E426" s="55" t="str">
        <f t="shared" ref="E426:F445" si="175">E422</f>
        <v>FPGA DI (DI State)</v>
      </c>
      <c r="F426" s="55" t="str">
        <f t="shared" si="175"/>
        <v>DI</v>
      </c>
      <c r="G426" s="29" t="str">
        <f t="shared" si="173"/>
        <v>ATE/IO82/DI</v>
      </c>
      <c r="H426" s="39" t="str">
        <f>Paths!$B$3 &amp; I426 &amp; Paths!$B$8</f>
        <v>Targets/Controller/Custom Devices/FPGA Addon/Scalars/Scalar Inputs/DI.IO82/STATE</v>
      </c>
      <c r="I426" s="32" t="str">
        <f>"IO" &amp; A426</f>
        <v>IO82</v>
      </c>
      <c r="J426" s="141" t="s">
        <v>6</v>
      </c>
      <c r="K426" s="144" t="s">
        <v>7</v>
      </c>
      <c r="L426" s="128"/>
      <c r="M426" s="131"/>
      <c r="N426" s="134"/>
    </row>
    <row r="427" spans="1:14" x14ac:dyDescent="0.45">
      <c r="A427" s="138"/>
      <c r="B427" s="98"/>
      <c r="C427" s="30" t="str">
        <f>"SLSC-12201-2/P" &amp; ROUNDDOWN(D427/8,0) &amp; "." &amp; MOD(D427,8)</f>
        <v>SLSC-12201-2/P2.1</v>
      </c>
      <c r="D427" s="30">
        <f t="shared" si="174"/>
        <v>17</v>
      </c>
      <c r="E427" s="30" t="str">
        <f t="shared" si="175"/>
        <v>Input</v>
      </c>
      <c r="F427" s="30" t="str">
        <f t="shared" si="175"/>
        <v>None</v>
      </c>
      <c r="G427" s="30" t="str">
        <f t="shared" si="173"/>
        <v>None</v>
      </c>
      <c r="H427" s="41" t="str">
        <f>Paths!$B$20 &amp; "Bank " &amp; ROUNDDOWN(D427/16,0) &amp; "/Port " &amp; ROUNDDOWN(D427/8,0) &amp; "/Line " &amp;MOD(D427,8) &amp;"/Direction"</f>
        <v>Targets/Controller/Hardware/SLSC/SLSC Chassis/Modules/Slot 9 (SLSC-12201 DIO)/Bank 1/Port 2/Line 1/Direction</v>
      </c>
      <c r="I427" s="58" t="str">
        <f>"IO" &amp; A426</f>
        <v>IO82</v>
      </c>
      <c r="J427" s="142"/>
      <c r="K427" s="145"/>
      <c r="L427" s="147"/>
      <c r="M427" s="148"/>
      <c r="N427" s="149"/>
    </row>
    <row r="428" spans="1:14" x14ac:dyDescent="0.45">
      <c r="A428" s="138"/>
      <c r="B428" s="98"/>
      <c r="C428" s="30" t="str">
        <f>"PXIe-6375/AI" &amp; D428</f>
        <v>PXIe-6375/AI17</v>
      </c>
      <c r="D428" s="64">
        <f t="shared" si="174"/>
        <v>17</v>
      </c>
      <c r="E428" s="64" t="str">
        <f t="shared" si="175"/>
        <v>Scaled voltage 0-60 V</v>
      </c>
      <c r="F428" s="64" t="str">
        <f t="shared" si="175"/>
        <v>TBD</v>
      </c>
      <c r="G428" s="30" t="str">
        <f t="shared" si="173"/>
        <v>None</v>
      </c>
      <c r="H428" s="41" t="str">
        <f>Paths!$B$27 &amp; I428 &amp; Paths!$B$28</f>
        <v>Targets/Controller/Calculated Channels/ATE/IO82/AI</v>
      </c>
      <c r="I428" s="58" t="str">
        <f>"IO" &amp; A426</f>
        <v>IO82</v>
      </c>
      <c r="J428" s="142"/>
      <c r="K428" s="145"/>
      <c r="L428" s="147"/>
      <c r="M428" s="148"/>
      <c r="N428" s="149"/>
    </row>
    <row r="429" spans="1:14" ht="14.65" thickBot="1" x14ac:dyDescent="0.5">
      <c r="A429" s="139"/>
      <c r="B429" s="99"/>
      <c r="C429" s="31" t="str">
        <f>"PXI-2510-2/dut" &amp; D429</f>
        <v>PXI-2510-2/dut41</v>
      </c>
      <c r="D429" s="31">
        <f t="shared" si="174"/>
        <v>41</v>
      </c>
      <c r="E429" s="31" t="str">
        <f t="shared" si="175"/>
        <v>FIU</v>
      </c>
      <c r="F429" s="31" t="str">
        <f t="shared" si="175"/>
        <v>TBD</v>
      </c>
      <c r="G429" s="31" t="str">
        <f t="shared" si="173"/>
        <v>None</v>
      </c>
      <c r="H429" s="42" t="s">
        <v>28</v>
      </c>
      <c r="I429" s="59" t="str">
        <f>"IO" &amp; A426</f>
        <v>IO82</v>
      </c>
      <c r="J429" s="143"/>
      <c r="K429" s="146"/>
      <c r="L429" s="130"/>
      <c r="M429" s="133"/>
      <c r="N429" s="136"/>
    </row>
    <row r="430" spans="1:14" ht="15" customHeight="1" x14ac:dyDescent="0.45">
      <c r="A430" s="137">
        <f>A426+1</f>
        <v>83</v>
      </c>
      <c r="B430" s="140" t="str">
        <f>B426</f>
        <v>LOW LOAD
DI: 0-60 V
AI: 0-60 V
EXT LOAD</v>
      </c>
      <c r="C430" s="29" t="str">
        <f>"PXIe-7820R/DIO" &amp; D430</f>
        <v>PXIe-7820R/DIO50</v>
      </c>
      <c r="D430" s="29">
        <f t="shared" si="174"/>
        <v>50</v>
      </c>
      <c r="E430" s="55" t="str">
        <f t="shared" si="175"/>
        <v>FPGA DI (DI State)</v>
      </c>
      <c r="F430" s="55" t="str">
        <f t="shared" si="175"/>
        <v>DI</v>
      </c>
      <c r="G430" s="29" t="str">
        <f t="shared" si="173"/>
        <v>ATE/IO83/DI</v>
      </c>
      <c r="H430" s="39" t="str">
        <f>Paths!$B$3 &amp; I430 &amp; Paths!$B$8</f>
        <v>Targets/Controller/Custom Devices/FPGA Addon/Scalars/Scalar Inputs/DI.IO83/STATE</v>
      </c>
      <c r="I430" s="32" t="str">
        <f>"IO" &amp; A430</f>
        <v>IO83</v>
      </c>
      <c r="J430" s="141" t="s">
        <v>6</v>
      </c>
      <c r="K430" s="144" t="s">
        <v>7</v>
      </c>
      <c r="L430" s="128"/>
      <c r="M430" s="131"/>
      <c r="N430" s="134"/>
    </row>
    <row r="431" spans="1:14" x14ac:dyDescent="0.45">
      <c r="A431" s="138"/>
      <c r="B431" s="98"/>
      <c r="C431" s="30" t="str">
        <f>"SLSC-12201-2/P" &amp; ROUNDDOWN(D431/8,0) &amp; "." &amp; MOD(D431,8)</f>
        <v>SLSC-12201-2/P2.2</v>
      </c>
      <c r="D431" s="30">
        <f t="shared" si="174"/>
        <v>18</v>
      </c>
      <c r="E431" s="30" t="str">
        <f t="shared" si="175"/>
        <v>Input</v>
      </c>
      <c r="F431" s="30" t="str">
        <f t="shared" si="175"/>
        <v>None</v>
      </c>
      <c r="G431" s="30" t="str">
        <f t="shared" si="173"/>
        <v>None</v>
      </c>
      <c r="H431" s="41" t="str">
        <f>Paths!$B$20 &amp; "Bank " &amp; ROUNDDOWN(D431/16,0) &amp; "/Port " &amp; ROUNDDOWN(D431/8,0) &amp; "/Line " &amp;MOD(D431,8) &amp;"/Direction"</f>
        <v>Targets/Controller/Hardware/SLSC/SLSC Chassis/Modules/Slot 9 (SLSC-12201 DIO)/Bank 1/Port 2/Line 2/Direction</v>
      </c>
      <c r="I431" s="58" t="str">
        <f>"IO" &amp; A430</f>
        <v>IO83</v>
      </c>
      <c r="J431" s="142"/>
      <c r="K431" s="145"/>
      <c r="L431" s="147"/>
      <c r="M431" s="148"/>
      <c r="N431" s="149"/>
    </row>
    <row r="432" spans="1:14" x14ac:dyDescent="0.45">
      <c r="A432" s="138"/>
      <c r="B432" s="98"/>
      <c r="C432" s="30" t="str">
        <f>"PXIe-6375/AI" &amp; D432</f>
        <v>PXIe-6375/AI18</v>
      </c>
      <c r="D432" s="64">
        <f t="shared" si="174"/>
        <v>18</v>
      </c>
      <c r="E432" s="64" t="str">
        <f t="shared" si="175"/>
        <v>Scaled voltage 0-60 V</v>
      </c>
      <c r="F432" s="64" t="str">
        <f t="shared" si="175"/>
        <v>TBD</v>
      </c>
      <c r="G432" s="30" t="str">
        <f t="shared" si="173"/>
        <v>None</v>
      </c>
      <c r="H432" s="41" t="str">
        <f>Paths!$B$27 &amp; I432 &amp; Paths!$B$28</f>
        <v>Targets/Controller/Calculated Channels/ATE/IO83/AI</v>
      </c>
      <c r="I432" s="58" t="str">
        <f>"IO" &amp; A430</f>
        <v>IO83</v>
      </c>
      <c r="J432" s="142"/>
      <c r="K432" s="145"/>
      <c r="L432" s="147"/>
      <c r="M432" s="148"/>
      <c r="N432" s="149"/>
    </row>
    <row r="433" spans="1:14" ht="14.65" thickBot="1" x14ac:dyDescent="0.5">
      <c r="A433" s="139"/>
      <c r="B433" s="99"/>
      <c r="C433" s="31" t="str">
        <f>"PXI-2510-2/dut" &amp; D433</f>
        <v>PXI-2510-2/dut42</v>
      </c>
      <c r="D433" s="31">
        <f t="shared" si="174"/>
        <v>42</v>
      </c>
      <c r="E433" s="31" t="str">
        <f t="shared" si="175"/>
        <v>FIU</v>
      </c>
      <c r="F433" s="31" t="str">
        <f t="shared" si="175"/>
        <v>TBD</v>
      </c>
      <c r="G433" s="31" t="str">
        <f t="shared" si="173"/>
        <v>None</v>
      </c>
      <c r="H433" s="42" t="s">
        <v>28</v>
      </c>
      <c r="I433" s="59" t="str">
        <f>"IO" &amp; A430</f>
        <v>IO83</v>
      </c>
      <c r="J433" s="143"/>
      <c r="K433" s="146"/>
      <c r="L433" s="130"/>
      <c r="M433" s="133"/>
      <c r="N433" s="136"/>
    </row>
    <row r="434" spans="1:14" ht="15" customHeight="1" x14ac:dyDescent="0.45">
      <c r="A434" s="137">
        <f>A430+1</f>
        <v>84</v>
      </c>
      <c r="B434" s="140" t="str">
        <f>B430</f>
        <v>LOW LOAD
DI: 0-60 V
AI: 0-60 V
EXT LOAD</v>
      </c>
      <c r="C434" s="29" t="str">
        <f>"PXIe-7820R/DIO" &amp; D434</f>
        <v>PXIe-7820R/DIO51</v>
      </c>
      <c r="D434" s="29">
        <f t="shared" si="174"/>
        <v>51</v>
      </c>
      <c r="E434" s="55" t="str">
        <f t="shared" si="175"/>
        <v>FPGA DI (DI State)</v>
      </c>
      <c r="F434" s="55" t="str">
        <f t="shared" si="175"/>
        <v>DI</v>
      </c>
      <c r="G434" s="29" t="str">
        <f t="shared" si="173"/>
        <v>ATE/IO84/DI</v>
      </c>
      <c r="H434" s="39" t="str">
        <f>Paths!$B$3 &amp; I434 &amp; Paths!$B$8</f>
        <v>Targets/Controller/Custom Devices/FPGA Addon/Scalars/Scalar Inputs/DI.IO84/STATE</v>
      </c>
      <c r="I434" s="32" t="str">
        <f>"IO" &amp; A434</f>
        <v>IO84</v>
      </c>
      <c r="J434" s="141" t="s">
        <v>6</v>
      </c>
      <c r="K434" s="144" t="s">
        <v>7</v>
      </c>
      <c r="L434" s="128"/>
      <c r="M434" s="131"/>
      <c r="N434" s="134"/>
    </row>
    <row r="435" spans="1:14" x14ac:dyDescent="0.45">
      <c r="A435" s="138"/>
      <c r="B435" s="98"/>
      <c r="C435" s="30" t="str">
        <f>"SLSC-12201-2/P" &amp; ROUNDDOWN(D435/8,0) &amp; "." &amp; MOD(D435,8)</f>
        <v>SLSC-12201-2/P2.3</v>
      </c>
      <c r="D435" s="30">
        <f t="shared" si="174"/>
        <v>19</v>
      </c>
      <c r="E435" s="30" t="str">
        <f t="shared" si="175"/>
        <v>Input</v>
      </c>
      <c r="F435" s="30" t="str">
        <f t="shared" si="175"/>
        <v>None</v>
      </c>
      <c r="G435" s="30" t="str">
        <f t="shared" si="173"/>
        <v>None</v>
      </c>
      <c r="H435" s="41" t="str">
        <f>Paths!$B$20 &amp; "Bank " &amp; ROUNDDOWN(D435/16,0) &amp; "/Port " &amp; ROUNDDOWN(D435/8,0) &amp; "/Line " &amp;MOD(D435,8) &amp;"/Direction"</f>
        <v>Targets/Controller/Hardware/SLSC/SLSC Chassis/Modules/Slot 9 (SLSC-12201 DIO)/Bank 1/Port 2/Line 3/Direction</v>
      </c>
      <c r="I435" s="58" t="str">
        <f>"IO" &amp; A434</f>
        <v>IO84</v>
      </c>
      <c r="J435" s="142"/>
      <c r="K435" s="145"/>
      <c r="L435" s="147"/>
      <c r="M435" s="148"/>
      <c r="N435" s="149"/>
    </row>
    <row r="436" spans="1:14" x14ac:dyDescent="0.45">
      <c r="A436" s="138"/>
      <c r="B436" s="98"/>
      <c r="C436" s="30" t="str">
        <f>"PXIe-6375/AI" &amp; D436</f>
        <v>PXIe-6375/AI19</v>
      </c>
      <c r="D436" s="64">
        <f t="shared" si="174"/>
        <v>19</v>
      </c>
      <c r="E436" s="64" t="str">
        <f t="shared" si="175"/>
        <v>Scaled voltage 0-60 V</v>
      </c>
      <c r="F436" s="64" t="str">
        <f t="shared" si="175"/>
        <v>TBD</v>
      </c>
      <c r="G436" s="30" t="str">
        <f t="shared" si="173"/>
        <v>None</v>
      </c>
      <c r="H436" s="41" t="str">
        <f>Paths!$B$27 &amp; I436 &amp; Paths!$B$28</f>
        <v>Targets/Controller/Calculated Channels/ATE/IO84/AI</v>
      </c>
      <c r="I436" s="58" t="str">
        <f>"IO" &amp; A434</f>
        <v>IO84</v>
      </c>
      <c r="J436" s="142"/>
      <c r="K436" s="145"/>
      <c r="L436" s="147"/>
      <c r="M436" s="148"/>
      <c r="N436" s="149"/>
    </row>
    <row r="437" spans="1:14" ht="14.65" thickBot="1" x14ac:dyDescent="0.5">
      <c r="A437" s="139"/>
      <c r="B437" s="99"/>
      <c r="C437" s="31" t="str">
        <f>"PXI-2510-2/dut" &amp; D437</f>
        <v>PXI-2510-2/dut43</v>
      </c>
      <c r="D437" s="31">
        <f t="shared" si="174"/>
        <v>43</v>
      </c>
      <c r="E437" s="31" t="str">
        <f t="shared" si="175"/>
        <v>FIU</v>
      </c>
      <c r="F437" s="31" t="str">
        <f t="shared" si="175"/>
        <v>TBD</v>
      </c>
      <c r="G437" s="31" t="str">
        <f t="shared" si="173"/>
        <v>None</v>
      </c>
      <c r="H437" s="42" t="s">
        <v>28</v>
      </c>
      <c r="I437" s="59" t="str">
        <f>"IO" &amp; A434</f>
        <v>IO84</v>
      </c>
      <c r="J437" s="143"/>
      <c r="K437" s="146"/>
      <c r="L437" s="130"/>
      <c r="M437" s="133"/>
      <c r="N437" s="136"/>
    </row>
    <row r="438" spans="1:14" ht="15" customHeight="1" x14ac:dyDescent="0.45">
      <c r="A438" s="137">
        <f>A434+1</f>
        <v>85</v>
      </c>
      <c r="B438" s="140" t="str">
        <f>B434</f>
        <v>LOW LOAD
DI: 0-60 V
AI: 0-60 V
EXT LOAD</v>
      </c>
      <c r="C438" s="29" t="str">
        <f>"PXIe-7820R/DIO" &amp; D438</f>
        <v>PXIe-7820R/DIO52</v>
      </c>
      <c r="D438" s="29">
        <f t="shared" si="174"/>
        <v>52</v>
      </c>
      <c r="E438" s="55" t="str">
        <f t="shared" si="175"/>
        <v>FPGA DI (DI State)</v>
      </c>
      <c r="F438" s="55" t="str">
        <f t="shared" si="175"/>
        <v>DI</v>
      </c>
      <c r="G438" s="29" t="str">
        <f t="shared" si="173"/>
        <v>ATE/IO85/DI</v>
      </c>
      <c r="H438" s="39" t="str">
        <f>Paths!$B$3 &amp; I438 &amp; Paths!$B$8</f>
        <v>Targets/Controller/Custom Devices/FPGA Addon/Scalars/Scalar Inputs/DI.IO85/STATE</v>
      </c>
      <c r="I438" s="32" t="str">
        <f>"IO" &amp; A438</f>
        <v>IO85</v>
      </c>
      <c r="J438" s="141" t="s">
        <v>6</v>
      </c>
      <c r="K438" s="144" t="s">
        <v>7</v>
      </c>
      <c r="L438" s="128"/>
      <c r="M438" s="131"/>
      <c r="N438" s="134"/>
    </row>
    <row r="439" spans="1:14" x14ac:dyDescent="0.45">
      <c r="A439" s="138"/>
      <c r="B439" s="98"/>
      <c r="C439" s="30" t="str">
        <f>"SLSC-12201-2/P" &amp; ROUNDDOWN(D439/8,0) &amp; "." &amp; MOD(D439,8)</f>
        <v>SLSC-12201-2/P2.4</v>
      </c>
      <c r="D439" s="30">
        <f t="shared" si="174"/>
        <v>20</v>
      </c>
      <c r="E439" s="30" t="str">
        <f t="shared" si="175"/>
        <v>Input</v>
      </c>
      <c r="F439" s="30" t="str">
        <f t="shared" si="175"/>
        <v>None</v>
      </c>
      <c r="G439" s="30" t="str">
        <f t="shared" si="173"/>
        <v>None</v>
      </c>
      <c r="H439" s="41" t="str">
        <f>Paths!$B$20 &amp; "Bank " &amp; ROUNDDOWN(D439/16,0) &amp; "/Port " &amp; ROUNDDOWN(D439/8,0) &amp; "/Line " &amp;MOD(D439,8) &amp;"/Direction"</f>
        <v>Targets/Controller/Hardware/SLSC/SLSC Chassis/Modules/Slot 9 (SLSC-12201 DIO)/Bank 1/Port 2/Line 4/Direction</v>
      </c>
      <c r="I439" s="58" t="str">
        <f>"IO" &amp; A438</f>
        <v>IO85</v>
      </c>
      <c r="J439" s="142"/>
      <c r="K439" s="145"/>
      <c r="L439" s="147"/>
      <c r="M439" s="148"/>
      <c r="N439" s="149"/>
    </row>
    <row r="440" spans="1:14" x14ac:dyDescent="0.45">
      <c r="A440" s="138"/>
      <c r="B440" s="98"/>
      <c r="C440" s="30" t="str">
        <f>"PXIe-6375/AI" &amp; D440</f>
        <v>PXIe-6375/AI20</v>
      </c>
      <c r="D440" s="64">
        <f t="shared" si="174"/>
        <v>20</v>
      </c>
      <c r="E440" s="64" t="str">
        <f t="shared" si="175"/>
        <v>Scaled voltage 0-60 V</v>
      </c>
      <c r="F440" s="64" t="str">
        <f t="shared" si="175"/>
        <v>TBD</v>
      </c>
      <c r="G440" s="30" t="str">
        <f t="shared" si="173"/>
        <v>None</v>
      </c>
      <c r="H440" s="41" t="str">
        <f>Paths!$B$27 &amp; I440 &amp; Paths!$B$28</f>
        <v>Targets/Controller/Calculated Channels/ATE/IO85/AI</v>
      </c>
      <c r="I440" s="58" t="str">
        <f>"IO" &amp; A438</f>
        <v>IO85</v>
      </c>
      <c r="J440" s="142"/>
      <c r="K440" s="145"/>
      <c r="L440" s="147"/>
      <c r="M440" s="148"/>
      <c r="N440" s="149"/>
    </row>
    <row r="441" spans="1:14" ht="14.65" thickBot="1" x14ac:dyDescent="0.5">
      <c r="A441" s="139"/>
      <c r="B441" s="99"/>
      <c r="C441" s="31" t="str">
        <f>"PXI-2510-2/dut" &amp; D441</f>
        <v>PXI-2510-2/dut44</v>
      </c>
      <c r="D441" s="31">
        <f t="shared" si="174"/>
        <v>44</v>
      </c>
      <c r="E441" s="31" t="str">
        <f t="shared" si="175"/>
        <v>FIU</v>
      </c>
      <c r="F441" s="31" t="str">
        <f t="shared" si="175"/>
        <v>TBD</v>
      </c>
      <c r="G441" s="31" t="str">
        <f t="shared" si="173"/>
        <v>None</v>
      </c>
      <c r="H441" s="42" t="s">
        <v>28</v>
      </c>
      <c r="I441" s="59" t="str">
        <f>"IO" &amp; A438</f>
        <v>IO85</v>
      </c>
      <c r="J441" s="143"/>
      <c r="K441" s="146"/>
      <c r="L441" s="130"/>
      <c r="M441" s="133"/>
      <c r="N441" s="136"/>
    </row>
    <row r="442" spans="1:14" ht="15" customHeight="1" x14ac:dyDescent="0.45">
      <c r="A442" s="137">
        <f>A438+1</f>
        <v>86</v>
      </c>
      <c r="B442" s="140" t="str">
        <f>B438</f>
        <v>LOW LOAD
DI: 0-60 V
AI: 0-60 V
EXT LOAD</v>
      </c>
      <c r="C442" s="29" t="str">
        <f>"PXIe-7820R/DIO" &amp; D442</f>
        <v>PXIe-7820R/DIO53</v>
      </c>
      <c r="D442" s="29">
        <f t="shared" si="174"/>
        <v>53</v>
      </c>
      <c r="E442" s="55" t="str">
        <f t="shared" si="175"/>
        <v>FPGA DI (DI State)</v>
      </c>
      <c r="F442" s="55" t="str">
        <f t="shared" si="175"/>
        <v>DI</v>
      </c>
      <c r="G442" s="29" t="str">
        <f t="shared" si="173"/>
        <v>ATE/IO86/DI</v>
      </c>
      <c r="H442" s="39" t="str">
        <f>Paths!$B$3 &amp; I442 &amp; Paths!$B$8</f>
        <v>Targets/Controller/Custom Devices/FPGA Addon/Scalars/Scalar Inputs/DI.IO86/STATE</v>
      </c>
      <c r="I442" s="32" t="str">
        <f>"IO" &amp; A442</f>
        <v>IO86</v>
      </c>
      <c r="J442" s="141" t="s">
        <v>6</v>
      </c>
      <c r="K442" s="144" t="s">
        <v>7</v>
      </c>
      <c r="L442" s="128"/>
      <c r="M442" s="131"/>
      <c r="N442" s="134"/>
    </row>
    <row r="443" spans="1:14" x14ac:dyDescent="0.45">
      <c r="A443" s="138"/>
      <c r="B443" s="98"/>
      <c r="C443" s="30" t="str">
        <f>"SLSC-12201-2/P" &amp; ROUNDDOWN(D443/8,0) &amp; "." &amp; MOD(D443,8)</f>
        <v>SLSC-12201-2/P2.5</v>
      </c>
      <c r="D443" s="30">
        <f t="shared" si="174"/>
        <v>21</v>
      </c>
      <c r="E443" s="30" t="str">
        <f t="shared" si="175"/>
        <v>Input</v>
      </c>
      <c r="F443" s="30" t="str">
        <f t="shared" si="175"/>
        <v>None</v>
      </c>
      <c r="G443" s="30" t="str">
        <f t="shared" si="173"/>
        <v>None</v>
      </c>
      <c r="H443" s="41" t="str">
        <f>Paths!$B$20 &amp; "Bank " &amp; ROUNDDOWN(D443/16,0) &amp; "/Port " &amp; ROUNDDOWN(D443/8,0) &amp; "/Line " &amp;MOD(D443,8) &amp;"/Direction"</f>
        <v>Targets/Controller/Hardware/SLSC/SLSC Chassis/Modules/Slot 9 (SLSC-12201 DIO)/Bank 1/Port 2/Line 5/Direction</v>
      </c>
      <c r="I443" s="58" t="str">
        <f>"IO" &amp; A442</f>
        <v>IO86</v>
      </c>
      <c r="J443" s="142"/>
      <c r="K443" s="145"/>
      <c r="L443" s="147"/>
      <c r="M443" s="148"/>
      <c r="N443" s="149"/>
    </row>
    <row r="444" spans="1:14" x14ac:dyDescent="0.45">
      <c r="A444" s="138"/>
      <c r="B444" s="98"/>
      <c r="C444" s="30" t="str">
        <f>"PXIe-6375/AI" &amp; D444</f>
        <v>PXIe-6375/AI21</v>
      </c>
      <c r="D444" s="64">
        <f t="shared" si="174"/>
        <v>21</v>
      </c>
      <c r="E444" s="64" t="str">
        <f t="shared" si="175"/>
        <v>Scaled voltage 0-60 V</v>
      </c>
      <c r="F444" s="64" t="str">
        <f t="shared" si="175"/>
        <v>TBD</v>
      </c>
      <c r="G444" s="30" t="str">
        <f t="shared" si="173"/>
        <v>None</v>
      </c>
      <c r="H444" s="41" t="str">
        <f>Paths!$B$27 &amp; I444 &amp; Paths!$B$28</f>
        <v>Targets/Controller/Calculated Channels/ATE/IO86/AI</v>
      </c>
      <c r="I444" s="58" t="str">
        <f>"IO" &amp; A442</f>
        <v>IO86</v>
      </c>
      <c r="J444" s="142"/>
      <c r="K444" s="145"/>
      <c r="L444" s="147"/>
      <c r="M444" s="148"/>
      <c r="N444" s="149"/>
    </row>
    <row r="445" spans="1:14" ht="14.65" thickBot="1" x14ac:dyDescent="0.5">
      <c r="A445" s="139"/>
      <c r="B445" s="99"/>
      <c r="C445" s="31" t="str">
        <f>"PXI-2510-2/dut" &amp; D445</f>
        <v>PXI-2510-2/dut45</v>
      </c>
      <c r="D445" s="31">
        <f t="shared" si="174"/>
        <v>45</v>
      </c>
      <c r="E445" s="31" t="str">
        <f t="shared" si="175"/>
        <v>FIU</v>
      </c>
      <c r="F445" s="31" t="str">
        <f t="shared" si="175"/>
        <v>TBD</v>
      </c>
      <c r="G445" s="31" t="str">
        <f t="shared" si="173"/>
        <v>None</v>
      </c>
      <c r="H445" s="42" t="s">
        <v>28</v>
      </c>
      <c r="I445" s="59" t="str">
        <f>"IO" &amp; A442</f>
        <v>IO86</v>
      </c>
      <c r="J445" s="143"/>
      <c r="K445" s="146"/>
      <c r="L445" s="130"/>
      <c r="M445" s="133"/>
      <c r="N445" s="136"/>
    </row>
    <row r="446" spans="1:14" ht="15" customHeight="1" x14ac:dyDescent="0.45">
      <c r="A446" s="137">
        <f>A442+1</f>
        <v>87</v>
      </c>
      <c r="B446" s="140" t="str">
        <f>B442</f>
        <v>LOW LOAD
DI: 0-60 V
AI: 0-60 V
EXT LOAD</v>
      </c>
      <c r="C446" s="29" t="str">
        <f>"PXIe-7820R/DIO" &amp; D446</f>
        <v>PXIe-7820R/DIO54</v>
      </c>
      <c r="D446" s="29">
        <f t="shared" si="174"/>
        <v>54</v>
      </c>
      <c r="E446" s="55" t="str">
        <f t="shared" ref="E446:F465" si="176">E442</f>
        <v>FPGA DI (DI State)</v>
      </c>
      <c r="F446" s="55" t="str">
        <f t="shared" si="176"/>
        <v>DI</v>
      </c>
      <c r="G446" s="29" t="str">
        <f t="shared" si="173"/>
        <v>ATE/IO87/DI</v>
      </c>
      <c r="H446" s="39" t="str">
        <f>Paths!$B$3 &amp; I446 &amp; Paths!$B$8</f>
        <v>Targets/Controller/Custom Devices/FPGA Addon/Scalars/Scalar Inputs/DI.IO87/STATE</v>
      </c>
      <c r="I446" s="32" t="str">
        <f>"IO" &amp; A446</f>
        <v>IO87</v>
      </c>
      <c r="J446" s="141" t="s">
        <v>6</v>
      </c>
      <c r="K446" s="144" t="s">
        <v>7</v>
      </c>
      <c r="L446" s="128"/>
      <c r="M446" s="131"/>
      <c r="N446" s="134"/>
    </row>
    <row r="447" spans="1:14" x14ac:dyDescent="0.45">
      <c r="A447" s="138"/>
      <c r="B447" s="98"/>
      <c r="C447" s="30" t="str">
        <f>"SLSC-12201-2/P" &amp; ROUNDDOWN(D447/8,0) &amp; "." &amp; MOD(D447,8)</f>
        <v>SLSC-12201-2/P2.6</v>
      </c>
      <c r="D447" s="30">
        <f t="shared" si="174"/>
        <v>22</v>
      </c>
      <c r="E447" s="30" t="str">
        <f t="shared" si="176"/>
        <v>Input</v>
      </c>
      <c r="F447" s="30" t="str">
        <f t="shared" si="176"/>
        <v>None</v>
      </c>
      <c r="G447" s="30" t="str">
        <f t="shared" si="173"/>
        <v>None</v>
      </c>
      <c r="H447" s="41" t="str">
        <f>Paths!$B$20 &amp; "Bank " &amp; ROUNDDOWN(D447/16,0) &amp; "/Port " &amp; ROUNDDOWN(D447/8,0) &amp; "/Line " &amp;MOD(D447,8) &amp;"/Direction"</f>
        <v>Targets/Controller/Hardware/SLSC/SLSC Chassis/Modules/Slot 9 (SLSC-12201 DIO)/Bank 1/Port 2/Line 6/Direction</v>
      </c>
      <c r="I447" s="58" t="str">
        <f>"IO" &amp; A446</f>
        <v>IO87</v>
      </c>
      <c r="J447" s="142"/>
      <c r="K447" s="145"/>
      <c r="L447" s="147"/>
      <c r="M447" s="148"/>
      <c r="N447" s="149"/>
    </row>
    <row r="448" spans="1:14" x14ac:dyDescent="0.45">
      <c r="A448" s="138"/>
      <c r="B448" s="98"/>
      <c r="C448" s="30" t="str">
        <f>"PXIe-6375/AI" &amp; D448</f>
        <v>PXIe-6375/AI22</v>
      </c>
      <c r="D448" s="64">
        <f t="shared" si="174"/>
        <v>22</v>
      </c>
      <c r="E448" s="64" t="str">
        <f t="shared" si="176"/>
        <v>Scaled voltage 0-60 V</v>
      </c>
      <c r="F448" s="64" t="str">
        <f t="shared" si="176"/>
        <v>TBD</v>
      </c>
      <c r="G448" s="30" t="str">
        <f t="shared" si="173"/>
        <v>None</v>
      </c>
      <c r="H448" s="41" t="str">
        <f>Paths!$B$27 &amp; I448 &amp; Paths!$B$28</f>
        <v>Targets/Controller/Calculated Channels/ATE/IO87/AI</v>
      </c>
      <c r="I448" s="58" t="str">
        <f>"IO" &amp; A446</f>
        <v>IO87</v>
      </c>
      <c r="J448" s="142"/>
      <c r="K448" s="145"/>
      <c r="L448" s="147"/>
      <c r="M448" s="148"/>
      <c r="N448" s="149"/>
    </row>
    <row r="449" spans="1:14" ht="14.65" thickBot="1" x14ac:dyDescent="0.5">
      <c r="A449" s="139"/>
      <c r="B449" s="99"/>
      <c r="C449" s="31" t="str">
        <f>"PXI-2510-2/dut" &amp; D449</f>
        <v>PXI-2510-2/dut46</v>
      </c>
      <c r="D449" s="31">
        <f t="shared" si="174"/>
        <v>46</v>
      </c>
      <c r="E449" s="31" t="str">
        <f t="shared" si="176"/>
        <v>FIU</v>
      </c>
      <c r="F449" s="31" t="str">
        <f t="shared" si="176"/>
        <v>TBD</v>
      </c>
      <c r="G449" s="31" t="str">
        <f t="shared" si="173"/>
        <v>None</v>
      </c>
      <c r="H449" s="42" t="s">
        <v>28</v>
      </c>
      <c r="I449" s="59" t="str">
        <f>"IO" &amp; A446</f>
        <v>IO87</v>
      </c>
      <c r="J449" s="143"/>
      <c r="K449" s="146"/>
      <c r="L449" s="130"/>
      <c r="M449" s="133"/>
      <c r="N449" s="136"/>
    </row>
    <row r="450" spans="1:14" ht="15" customHeight="1" x14ac:dyDescent="0.45">
      <c r="A450" s="137">
        <f>A446+1</f>
        <v>88</v>
      </c>
      <c r="B450" s="140" t="str">
        <f>B446</f>
        <v>LOW LOAD
DI: 0-60 V
AI: 0-60 V
EXT LOAD</v>
      </c>
      <c r="C450" s="29" t="str">
        <f>"PXIe-7820R/DIO" &amp; D450</f>
        <v>PXIe-7820R/DIO55</v>
      </c>
      <c r="D450" s="29">
        <f t="shared" si="174"/>
        <v>55</v>
      </c>
      <c r="E450" s="55" t="str">
        <f t="shared" si="176"/>
        <v>FPGA DI (DI State)</v>
      </c>
      <c r="F450" s="55" t="str">
        <f t="shared" si="176"/>
        <v>DI</v>
      </c>
      <c r="G450" s="29" t="str">
        <f t="shared" si="173"/>
        <v>ATE/IO88/DI</v>
      </c>
      <c r="H450" s="39" t="str">
        <f>Paths!$B$3 &amp; I450 &amp; Paths!$B$8</f>
        <v>Targets/Controller/Custom Devices/FPGA Addon/Scalars/Scalar Inputs/DI.IO88/STATE</v>
      </c>
      <c r="I450" s="32" t="str">
        <f>"IO" &amp; A450</f>
        <v>IO88</v>
      </c>
      <c r="J450" s="141" t="s">
        <v>6</v>
      </c>
      <c r="K450" s="144" t="s">
        <v>7</v>
      </c>
      <c r="L450" s="128"/>
      <c r="M450" s="131"/>
      <c r="N450" s="134"/>
    </row>
    <row r="451" spans="1:14" x14ac:dyDescent="0.45">
      <c r="A451" s="138"/>
      <c r="B451" s="98"/>
      <c r="C451" s="30" t="str">
        <f>"SLSC-12201-2/P" &amp; ROUNDDOWN(D451/8,0) &amp; "." &amp; MOD(D451,8)</f>
        <v>SLSC-12201-2/P2.7</v>
      </c>
      <c r="D451" s="30">
        <f t="shared" si="174"/>
        <v>23</v>
      </c>
      <c r="E451" s="30" t="str">
        <f t="shared" si="176"/>
        <v>Input</v>
      </c>
      <c r="F451" s="30" t="str">
        <f t="shared" si="176"/>
        <v>None</v>
      </c>
      <c r="G451" s="30" t="str">
        <f t="shared" si="173"/>
        <v>None</v>
      </c>
      <c r="H451" s="41" t="str">
        <f>Paths!$B$20 &amp; "Bank " &amp; ROUNDDOWN(D451/16,0) &amp; "/Port " &amp; ROUNDDOWN(D451/8,0) &amp; "/Line " &amp;MOD(D451,8) &amp;"/Direction"</f>
        <v>Targets/Controller/Hardware/SLSC/SLSC Chassis/Modules/Slot 9 (SLSC-12201 DIO)/Bank 1/Port 2/Line 7/Direction</v>
      </c>
      <c r="I451" s="58" t="str">
        <f>"IO" &amp; A450</f>
        <v>IO88</v>
      </c>
      <c r="J451" s="142"/>
      <c r="K451" s="145"/>
      <c r="L451" s="147"/>
      <c r="M451" s="148"/>
      <c r="N451" s="149"/>
    </row>
    <row r="452" spans="1:14" x14ac:dyDescent="0.45">
      <c r="A452" s="138"/>
      <c r="B452" s="98"/>
      <c r="C452" s="30" t="str">
        <f>"PXIe-6375/AI" &amp; D452</f>
        <v>PXIe-6375/AI23</v>
      </c>
      <c r="D452" s="64">
        <f t="shared" si="174"/>
        <v>23</v>
      </c>
      <c r="E452" s="64" t="str">
        <f t="shared" si="176"/>
        <v>Scaled voltage 0-60 V</v>
      </c>
      <c r="F452" s="64" t="str">
        <f t="shared" si="176"/>
        <v>TBD</v>
      </c>
      <c r="G452" s="30" t="str">
        <f t="shared" si="173"/>
        <v>None</v>
      </c>
      <c r="H452" s="41" t="str">
        <f>Paths!$B$27 &amp; I452 &amp; Paths!$B$28</f>
        <v>Targets/Controller/Calculated Channels/ATE/IO88/AI</v>
      </c>
      <c r="I452" s="58" t="str">
        <f>"IO" &amp; A450</f>
        <v>IO88</v>
      </c>
      <c r="J452" s="142"/>
      <c r="K452" s="145"/>
      <c r="L452" s="147"/>
      <c r="M452" s="148"/>
      <c r="N452" s="149"/>
    </row>
    <row r="453" spans="1:14" ht="14.65" thickBot="1" x14ac:dyDescent="0.5">
      <c r="A453" s="139"/>
      <c r="B453" s="99"/>
      <c r="C453" s="31" t="str">
        <f>"PXI-2510-2/dut" &amp; D453</f>
        <v>PXI-2510-2/dut47</v>
      </c>
      <c r="D453" s="31">
        <f t="shared" si="174"/>
        <v>47</v>
      </c>
      <c r="E453" s="31" t="str">
        <f t="shared" si="176"/>
        <v>FIU</v>
      </c>
      <c r="F453" s="31" t="str">
        <f t="shared" si="176"/>
        <v>TBD</v>
      </c>
      <c r="G453" s="31" t="str">
        <f t="shared" si="173"/>
        <v>None</v>
      </c>
      <c r="H453" s="42" t="s">
        <v>28</v>
      </c>
      <c r="I453" s="59" t="str">
        <f>"IO" &amp; A450</f>
        <v>IO88</v>
      </c>
      <c r="J453" s="143"/>
      <c r="K453" s="146"/>
      <c r="L453" s="130"/>
      <c r="M453" s="133"/>
      <c r="N453" s="136"/>
    </row>
    <row r="454" spans="1:14" ht="15" customHeight="1" x14ac:dyDescent="0.45">
      <c r="A454" s="137">
        <f>A450+1</f>
        <v>89</v>
      </c>
      <c r="B454" s="140" t="str">
        <f>B450</f>
        <v>LOW LOAD
DI: 0-60 V
AI: 0-60 V
EXT LOAD</v>
      </c>
      <c r="C454" s="29" t="str">
        <f>"PXIe-7820R/DIO" &amp; D454</f>
        <v>PXIe-7820R/DIO56</v>
      </c>
      <c r="D454" s="29">
        <f t="shared" si="174"/>
        <v>56</v>
      </c>
      <c r="E454" s="55" t="str">
        <f t="shared" si="176"/>
        <v>FPGA DI (DI State)</v>
      </c>
      <c r="F454" s="55" t="str">
        <f t="shared" si="176"/>
        <v>DI</v>
      </c>
      <c r="G454" s="29" t="str">
        <f t="shared" ref="G454:G485" si="177">IF(OR(F454="None",F454="TBD"),"None",_xlfn.CONCAT("ATE/",I454,"/",F454))</f>
        <v>ATE/IO89/DI</v>
      </c>
      <c r="H454" s="39" t="str">
        <f>Paths!$B$3 &amp; I454 &amp; Paths!$B$8</f>
        <v>Targets/Controller/Custom Devices/FPGA Addon/Scalars/Scalar Inputs/DI.IO89/STATE</v>
      </c>
      <c r="I454" s="32" t="str">
        <f>"IO" &amp; A454</f>
        <v>IO89</v>
      </c>
      <c r="J454" s="141" t="s">
        <v>6</v>
      </c>
      <c r="K454" s="144" t="s">
        <v>7</v>
      </c>
      <c r="L454" s="128"/>
      <c r="M454" s="131"/>
      <c r="N454" s="134"/>
    </row>
    <row r="455" spans="1:14" x14ac:dyDescent="0.45">
      <c r="A455" s="138"/>
      <c r="B455" s="98"/>
      <c r="C455" s="30" t="str">
        <f>"SLSC-12201-2/P" &amp; ROUNDDOWN(D455/8,0) &amp; "." &amp; MOD(D455,8)</f>
        <v>SLSC-12201-2/P3.0</v>
      </c>
      <c r="D455" s="30">
        <f t="shared" si="174"/>
        <v>24</v>
      </c>
      <c r="E455" s="30" t="str">
        <f t="shared" si="176"/>
        <v>Input</v>
      </c>
      <c r="F455" s="30" t="str">
        <f t="shared" si="176"/>
        <v>None</v>
      </c>
      <c r="G455" s="30" t="str">
        <f t="shared" si="177"/>
        <v>None</v>
      </c>
      <c r="H455" s="41" t="str">
        <f>Paths!$B$20 &amp; "Bank " &amp; ROUNDDOWN(D455/16,0) &amp; "/Port " &amp; ROUNDDOWN(D455/8,0) &amp; "/Line " &amp;MOD(D455,8) &amp;"/Direction"</f>
        <v>Targets/Controller/Hardware/SLSC/SLSC Chassis/Modules/Slot 9 (SLSC-12201 DIO)/Bank 1/Port 3/Line 0/Direction</v>
      </c>
      <c r="I455" s="58" t="str">
        <f>"IO" &amp; A454</f>
        <v>IO89</v>
      </c>
      <c r="J455" s="142"/>
      <c r="K455" s="145"/>
      <c r="L455" s="147"/>
      <c r="M455" s="148"/>
      <c r="N455" s="149"/>
    </row>
    <row r="456" spans="1:14" x14ac:dyDescent="0.45">
      <c r="A456" s="138"/>
      <c r="B456" s="98"/>
      <c r="C456" s="30" t="str">
        <f>"PXIe-6375/AI" &amp; D456</f>
        <v>PXIe-6375/AI32</v>
      </c>
      <c r="D456" s="67">
        <v>32</v>
      </c>
      <c r="E456" s="64" t="str">
        <f t="shared" si="176"/>
        <v>Scaled voltage 0-60 V</v>
      </c>
      <c r="F456" s="64" t="str">
        <f t="shared" si="176"/>
        <v>TBD</v>
      </c>
      <c r="G456" s="30" t="str">
        <f t="shared" si="177"/>
        <v>None</v>
      </c>
      <c r="H456" s="41" t="str">
        <f>Paths!$B$27 &amp; I456 &amp; Paths!$B$28</f>
        <v>Targets/Controller/Calculated Channels/ATE/IO89/AI</v>
      </c>
      <c r="I456" s="58" t="str">
        <f>"IO" &amp; A454</f>
        <v>IO89</v>
      </c>
      <c r="J456" s="142"/>
      <c r="K456" s="145"/>
      <c r="L456" s="147"/>
      <c r="M456" s="148"/>
      <c r="N456" s="149"/>
    </row>
    <row r="457" spans="1:14" ht="14.65" thickBot="1" x14ac:dyDescent="0.5">
      <c r="A457" s="139"/>
      <c r="B457" s="99"/>
      <c r="C457" s="31" t="str">
        <f>"PXI-2510-2/dut" &amp; D457</f>
        <v>PXI-2510-2/dut48</v>
      </c>
      <c r="D457" s="31">
        <f t="shared" ref="D457:D485" si="178">D453+1</f>
        <v>48</v>
      </c>
      <c r="E457" s="31" t="str">
        <f t="shared" si="176"/>
        <v>FIU</v>
      </c>
      <c r="F457" s="31" t="str">
        <f t="shared" si="176"/>
        <v>TBD</v>
      </c>
      <c r="G457" s="31" t="str">
        <f t="shared" si="177"/>
        <v>None</v>
      </c>
      <c r="H457" s="42" t="s">
        <v>28</v>
      </c>
      <c r="I457" s="59" t="str">
        <f>"IO" &amp; A454</f>
        <v>IO89</v>
      </c>
      <c r="J457" s="143"/>
      <c r="K457" s="146"/>
      <c r="L457" s="130"/>
      <c r="M457" s="133"/>
      <c r="N457" s="136"/>
    </row>
    <row r="458" spans="1:14" ht="15" customHeight="1" x14ac:dyDescent="0.45">
      <c r="A458" s="137">
        <f>A454+1</f>
        <v>90</v>
      </c>
      <c r="B458" s="140" t="str">
        <f>B454</f>
        <v>LOW LOAD
DI: 0-60 V
AI: 0-60 V
EXT LOAD</v>
      </c>
      <c r="C458" s="29" t="str">
        <f>"PXIe-7820R/DIO" &amp; D458</f>
        <v>PXIe-7820R/DIO57</v>
      </c>
      <c r="D458" s="29">
        <f t="shared" si="178"/>
        <v>57</v>
      </c>
      <c r="E458" s="55" t="str">
        <f t="shared" si="176"/>
        <v>FPGA DI (DI State)</v>
      </c>
      <c r="F458" s="55" t="str">
        <f t="shared" si="176"/>
        <v>DI</v>
      </c>
      <c r="G458" s="29" t="str">
        <f t="shared" si="177"/>
        <v>ATE/IO90/DI</v>
      </c>
      <c r="H458" s="39" t="str">
        <f>Paths!$B$3 &amp; I458 &amp; Paths!$B$8</f>
        <v>Targets/Controller/Custom Devices/FPGA Addon/Scalars/Scalar Inputs/DI.IO90/STATE</v>
      </c>
      <c r="I458" s="32" t="str">
        <f>"IO" &amp; A458</f>
        <v>IO90</v>
      </c>
      <c r="J458" s="141" t="s">
        <v>6</v>
      </c>
      <c r="K458" s="144" t="s">
        <v>7</v>
      </c>
      <c r="L458" s="128"/>
      <c r="M458" s="131"/>
      <c r="N458" s="134"/>
    </row>
    <row r="459" spans="1:14" x14ac:dyDescent="0.45">
      <c r="A459" s="138"/>
      <c r="B459" s="98"/>
      <c r="C459" s="30" t="str">
        <f>"SLSC-12201-2/P" &amp; ROUNDDOWN(D459/8,0) &amp; "." &amp; MOD(D459,8)</f>
        <v>SLSC-12201-2/P3.1</v>
      </c>
      <c r="D459" s="30">
        <f t="shared" si="178"/>
        <v>25</v>
      </c>
      <c r="E459" s="30" t="str">
        <f t="shared" si="176"/>
        <v>Input</v>
      </c>
      <c r="F459" s="30" t="str">
        <f t="shared" si="176"/>
        <v>None</v>
      </c>
      <c r="G459" s="30" t="str">
        <f t="shared" si="177"/>
        <v>None</v>
      </c>
      <c r="H459" s="41" t="str">
        <f>Paths!$B$20 &amp; "Bank " &amp; ROUNDDOWN(D459/16,0) &amp; "/Port " &amp; ROUNDDOWN(D459/8,0) &amp; "/Line " &amp;MOD(D459,8) &amp;"/Direction"</f>
        <v>Targets/Controller/Hardware/SLSC/SLSC Chassis/Modules/Slot 9 (SLSC-12201 DIO)/Bank 1/Port 3/Line 1/Direction</v>
      </c>
      <c r="I459" s="58" t="str">
        <f>"IO" &amp; A458</f>
        <v>IO90</v>
      </c>
      <c r="J459" s="142"/>
      <c r="K459" s="145"/>
      <c r="L459" s="147"/>
      <c r="M459" s="148"/>
      <c r="N459" s="149"/>
    </row>
    <row r="460" spans="1:14" x14ac:dyDescent="0.45">
      <c r="A460" s="138"/>
      <c r="B460" s="98"/>
      <c r="C460" s="30" t="str">
        <f>"PXIe-6375/AI" &amp; D460</f>
        <v>PXIe-6375/AI33</v>
      </c>
      <c r="D460" s="64">
        <f t="shared" si="178"/>
        <v>33</v>
      </c>
      <c r="E460" s="64" t="str">
        <f t="shared" si="176"/>
        <v>Scaled voltage 0-60 V</v>
      </c>
      <c r="F460" s="64" t="str">
        <f t="shared" si="176"/>
        <v>TBD</v>
      </c>
      <c r="G460" s="30" t="str">
        <f t="shared" si="177"/>
        <v>None</v>
      </c>
      <c r="H460" s="41" t="str">
        <f>Paths!$B$27 &amp; I460 &amp; Paths!$B$28</f>
        <v>Targets/Controller/Calculated Channels/ATE/IO90/AI</v>
      </c>
      <c r="I460" s="58" t="str">
        <f>"IO" &amp; A458</f>
        <v>IO90</v>
      </c>
      <c r="J460" s="142"/>
      <c r="K460" s="145"/>
      <c r="L460" s="147"/>
      <c r="M460" s="148"/>
      <c r="N460" s="149"/>
    </row>
    <row r="461" spans="1:14" ht="14.65" thickBot="1" x14ac:dyDescent="0.5">
      <c r="A461" s="139"/>
      <c r="B461" s="99"/>
      <c r="C461" s="31" t="str">
        <f>"PXI-2510-2/dut" &amp; D461</f>
        <v>PXI-2510-2/dut49</v>
      </c>
      <c r="D461" s="31">
        <f t="shared" si="178"/>
        <v>49</v>
      </c>
      <c r="E461" s="31" t="str">
        <f t="shared" si="176"/>
        <v>FIU</v>
      </c>
      <c r="F461" s="31" t="str">
        <f t="shared" si="176"/>
        <v>TBD</v>
      </c>
      <c r="G461" s="31" t="str">
        <f t="shared" si="177"/>
        <v>None</v>
      </c>
      <c r="H461" s="42" t="s">
        <v>28</v>
      </c>
      <c r="I461" s="59" t="str">
        <f>"IO" &amp; A458</f>
        <v>IO90</v>
      </c>
      <c r="J461" s="143"/>
      <c r="K461" s="146"/>
      <c r="L461" s="130"/>
      <c r="M461" s="133"/>
      <c r="N461" s="136"/>
    </row>
    <row r="462" spans="1:14" ht="15" customHeight="1" x14ac:dyDescent="0.45">
      <c r="A462" s="137">
        <f>A458+1</f>
        <v>91</v>
      </c>
      <c r="B462" s="140" t="str">
        <f>B458</f>
        <v>LOW LOAD
DI: 0-60 V
AI: 0-60 V
EXT LOAD</v>
      </c>
      <c r="C462" s="29" t="str">
        <f>"PXIe-7820R/DIO" &amp; D462</f>
        <v>PXIe-7820R/DIO58</v>
      </c>
      <c r="D462" s="29">
        <f t="shared" si="178"/>
        <v>58</v>
      </c>
      <c r="E462" s="55" t="str">
        <f t="shared" si="176"/>
        <v>FPGA DI (DI State)</v>
      </c>
      <c r="F462" s="55" t="str">
        <f t="shared" si="176"/>
        <v>DI</v>
      </c>
      <c r="G462" s="29" t="str">
        <f t="shared" si="177"/>
        <v>ATE/IO91/DI</v>
      </c>
      <c r="H462" s="39" t="str">
        <f>Paths!$B$3 &amp; I462 &amp; Paths!$B$8</f>
        <v>Targets/Controller/Custom Devices/FPGA Addon/Scalars/Scalar Inputs/DI.IO91/STATE</v>
      </c>
      <c r="I462" s="32" t="str">
        <f>"IO" &amp; A462</f>
        <v>IO91</v>
      </c>
      <c r="J462" s="141" t="s">
        <v>6</v>
      </c>
      <c r="K462" s="144" t="s">
        <v>7</v>
      </c>
      <c r="L462" s="128"/>
      <c r="M462" s="131"/>
      <c r="N462" s="134"/>
    </row>
    <row r="463" spans="1:14" x14ac:dyDescent="0.45">
      <c r="A463" s="138"/>
      <c r="B463" s="98"/>
      <c r="C463" s="30" t="str">
        <f>"SLSC-12201-2/P" &amp; ROUNDDOWN(D463/8,0) &amp; "." &amp; MOD(D463,8)</f>
        <v>SLSC-12201-2/P3.2</v>
      </c>
      <c r="D463" s="30">
        <f t="shared" si="178"/>
        <v>26</v>
      </c>
      <c r="E463" s="30" t="str">
        <f t="shared" si="176"/>
        <v>Input</v>
      </c>
      <c r="F463" s="30" t="str">
        <f t="shared" si="176"/>
        <v>None</v>
      </c>
      <c r="G463" s="30" t="str">
        <f t="shared" si="177"/>
        <v>None</v>
      </c>
      <c r="H463" s="41" t="str">
        <f>Paths!$B$20 &amp; "Bank " &amp; ROUNDDOWN(D463/16,0) &amp; "/Port " &amp; ROUNDDOWN(D463/8,0) &amp; "/Line " &amp;MOD(D463,8) &amp;"/Direction"</f>
        <v>Targets/Controller/Hardware/SLSC/SLSC Chassis/Modules/Slot 9 (SLSC-12201 DIO)/Bank 1/Port 3/Line 2/Direction</v>
      </c>
      <c r="I463" s="58" t="str">
        <f>"IO" &amp; A462</f>
        <v>IO91</v>
      </c>
      <c r="J463" s="142"/>
      <c r="K463" s="145"/>
      <c r="L463" s="147"/>
      <c r="M463" s="148"/>
      <c r="N463" s="149"/>
    </row>
    <row r="464" spans="1:14" x14ac:dyDescent="0.45">
      <c r="A464" s="138"/>
      <c r="B464" s="98"/>
      <c r="C464" s="30" t="str">
        <f>"PXIe-6375/AI" &amp; D464</f>
        <v>PXIe-6375/AI34</v>
      </c>
      <c r="D464" s="64">
        <f t="shared" si="178"/>
        <v>34</v>
      </c>
      <c r="E464" s="64" t="str">
        <f t="shared" si="176"/>
        <v>Scaled voltage 0-60 V</v>
      </c>
      <c r="F464" s="64" t="str">
        <f t="shared" si="176"/>
        <v>TBD</v>
      </c>
      <c r="G464" s="30" t="str">
        <f t="shared" si="177"/>
        <v>None</v>
      </c>
      <c r="H464" s="41" t="str">
        <f>Paths!$B$27 &amp; I464 &amp; Paths!$B$28</f>
        <v>Targets/Controller/Calculated Channels/ATE/IO91/AI</v>
      </c>
      <c r="I464" s="58" t="str">
        <f>"IO" &amp; A462</f>
        <v>IO91</v>
      </c>
      <c r="J464" s="142"/>
      <c r="K464" s="145"/>
      <c r="L464" s="147"/>
      <c r="M464" s="148"/>
      <c r="N464" s="149"/>
    </row>
    <row r="465" spans="1:14" ht="14.65" thickBot="1" x14ac:dyDescent="0.5">
      <c r="A465" s="139"/>
      <c r="B465" s="99"/>
      <c r="C465" s="31" t="str">
        <f>"PXI-2510-2/dut" &amp; D465</f>
        <v>PXI-2510-2/dut50</v>
      </c>
      <c r="D465" s="31">
        <f t="shared" si="178"/>
        <v>50</v>
      </c>
      <c r="E465" s="31" t="str">
        <f t="shared" si="176"/>
        <v>FIU</v>
      </c>
      <c r="F465" s="31" t="str">
        <f t="shared" si="176"/>
        <v>TBD</v>
      </c>
      <c r="G465" s="31" t="str">
        <f t="shared" si="177"/>
        <v>None</v>
      </c>
      <c r="H465" s="42" t="s">
        <v>28</v>
      </c>
      <c r="I465" s="59" t="str">
        <f>"IO" &amp; A462</f>
        <v>IO91</v>
      </c>
      <c r="J465" s="143"/>
      <c r="K465" s="146"/>
      <c r="L465" s="130"/>
      <c r="M465" s="133"/>
      <c r="N465" s="136"/>
    </row>
    <row r="466" spans="1:14" ht="15" customHeight="1" x14ac:dyDescent="0.45">
      <c r="A466" s="137">
        <f>A462+1</f>
        <v>92</v>
      </c>
      <c r="B466" s="140" t="str">
        <f>B462</f>
        <v>LOW LOAD
DI: 0-60 V
AI: 0-60 V
EXT LOAD</v>
      </c>
      <c r="C466" s="29" t="str">
        <f>"PXIe-7820R/DIO" &amp; D466</f>
        <v>PXIe-7820R/DIO59</v>
      </c>
      <c r="D466" s="29">
        <f t="shared" si="178"/>
        <v>59</v>
      </c>
      <c r="E466" s="55" t="str">
        <f t="shared" ref="E466:F485" si="179">E462</f>
        <v>FPGA DI (DI State)</v>
      </c>
      <c r="F466" s="55" t="str">
        <f t="shared" si="179"/>
        <v>DI</v>
      </c>
      <c r="G466" s="29" t="str">
        <f t="shared" si="177"/>
        <v>ATE/IO92/DI</v>
      </c>
      <c r="H466" s="39" t="str">
        <f>Paths!$B$3 &amp; I466 &amp; Paths!$B$8</f>
        <v>Targets/Controller/Custom Devices/FPGA Addon/Scalars/Scalar Inputs/DI.IO92/STATE</v>
      </c>
      <c r="I466" s="32" t="str">
        <f>"IO" &amp; A466</f>
        <v>IO92</v>
      </c>
      <c r="J466" s="141" t="s">
        <v>6</v>
      </c>
      <c r="K466" s="144" t="s">
        <v>7</v>
      </c>
      <c r="L466" s="128"/>
      <c r="M466" s="131"/>
      <c r="N466" s="134"/>
    </row>
    <row r="467" spans="1:14" x14ac:dyDescent="0.45">
      <c r="A467" s="138"/>
      <c r="B467" s="98"/>
      <c r="C467" s="30" t="str">
        <f>"SLSC-12201-2/P" &amp; ROUNDDOWN(D467/8,0) &amp; "." &amp; MOD(D467,8)</f>
        <v>SLSC-12201-2/P3.3</v>
      </c>
      <c r="D467" s="30">
        <f t="shared" si="178"/>
        <v>27</v>
      </c>
      <c r="E467" s="30" t="str">
        <f t="shared" si="179"/>
        <v>Input</v>
      </c>
      <c r="F467" s="30" t="str">
        <f t="shared" si="179"/>
        <v>None</v>
      </c>
      <c r="G467" s="30" t="str">
        <f t="shared" si="177"/>
        <v>None</v>
      </c>
      <c r="H467" s="41" t="str">
        <f>Paths!$B$20 &amp; "Bank " &amp; ROUNDDOWN(D467/16,0) &amp; "/Port " &amp; ROUNDDOWN(D467/8,0) &amp; "/Line " &amp;MOD(D467,8) &amp;"/Direction"</f>
        <v>Targets/Controller/Hardware/SLSC/SLSC Chassis/Modules/Slot 9 (SLSC-12201 DIO)/Bank 1/Port 3/Line 3/Direction</v>
      </c>
      <c r="I467" s="58" t="str">
        <f>"IO" &amp; A466</f>
        <v>IO92</v>
      </c>
      <c r="J467" s="142"/>
      <c r="K467" s="145"/>
      <c r="L467" s="147"/>
      <c r="M467" s="148"/>
      <c r="N467" s="149"/>
    </row>
    <row r="468" spans="1:14" x14ac:dyDescent="0.45">
      <c r="A468" s="138"/>
      <c r="B468" s="98"/>
      <c r="C468" s="30" t="str">
        <f>"PXIe-6375/AI" &amp; D468</f>
        <v>PXIe-6375/AI35</v>
      </c>
      <c r="D468" s="64">
        <f t="shared" si="178"/>
        <v>35</v>
      </c>
      <c r="E468" s="64" t="str">
        <f t="shared" si="179"/>
        <v>Scaled voltage 0-60 V</v>
      </c>
      <c r="F468" s="64" t="str">
        <f t="shared" si="179"/>
        <v>TBD</v>
      </c>
      <c r="G468" s="30" t="str">
        <f t="shared" si="177"/>
        <v>None</v>
      </c>
      <c r="H468" s="41" t="str">
        <f>Paths!$B$27 &amp; I468 &amp; Paths!$B$28</f>
        <v>Targets/Controller/Calculated Channels/ATE/IO92/AI</v>
      </c>
      <c r="I468" s="58" t="str">
        <f>"IO" &amp; A466</f>
        <v>IO92</v>
      </c>
      <c r="J468" s="142"/>
      <c r="K468" s="145"/>
      <c r="L468" s="147"/>
      <c r="M468" s="148"/>
      <c r="N468" s="149"/>
    </row>
    <row r="469" spans="1:14" ht="14.65" thickBot="1" x14ac:dyDescent="0.5">
      <c r="A469" s="139"/>
      <c r="B469" s="99"/>
      <c r="C469" s="31" t="str">
        <f>"PXI-2510-2/dut" &amp; D469</f>
        <v>PXI-2510-2/dut51</v>
      </c>
      <c r="D469" s="31">
        <f t="shared" si="178"/>
        <v>51</v>
      </c>
      <c r="E469" s="31" t="str">
        <f t="shared" si="179"/>
        <v>FIU</v>
      </c>
      <c r="F469" s="31" t="str">
        <f t="shared" si="179"/>
        <v>TBD</v>
      </c>
      <c r="G469" s="31" t="str">
        <f t="shared" si="177"/>
        <v>None</v>
      </c>
      <c r="H469" s="42" t="s">
        <v>28</v>
      </c>
      <c r="I469" s="59" t="str">
        <f>"IO" &amp; A466</f>
        <v>IO92</v>
      </c>
      <c r="J469" s="143"/>
      <c r="K469" s="146"/>
      <c r="L469" s="130"/>
      <c r="M469" s="133"/>
      <c r="N469" s="136"/>
    </row>
    <row r="470" spans="1:14" ht="15" customHeight="1" x14ac:dyDescent="0.45">
      <c r="A470" s="137">
        <f>A466+1</f>
        <v>93</v>
      </c>
      <c r="B470" s="140" t="str">
        <f>B466</f>
        <v>LOW LOAD
DI: 0-60 V
AI: 0-60 V
EXT LOAD</v>
      </c>
      <c r="C470" s="29" t="str">
        <f>"PXIe-7820R/DIO" &amp; D470</f>
        <v>PXIe-7820R/DIO60</v>
      </c>
      <c r="D470" s="29">
        <f t="shared" si="178"/>
        <v>60</v>
      </c>
      <c r="E470" s="55" t="str">
        <f t="shared" si="179"/>
        <v>FPGA DI (DI State)</v>
      </c>
      <c r="F470" s="55" t="str">
        <f t="shared" si="179"/>
        <v>DI</v>
      </c>
      <c r="G470" s="29" t="str">
        <f t="shared" si="177"/>
        <v>ATE/IO93/DI</v>
      </c>
      <c r="H470" s="39" t="str">
        <f>Paths!$B$3 &amp; I470 &amp; Paths!$B$8</f>
        <v>Targets/Controller/Custom Devices/FPGA Addon/Scalars/Scalar Inputs/DI.IO93/STATE</v>
      </c>
      <c r="I470" s="32" t="str">
        <f>"IO" &amp; A470</f>
        <v>IO93</v>
      </c>
      <c r="J470" s="141" t="s">
        <v>6</v>
      </c>
      <c r="K470" s="144" t="s">
        <v>7</v>
      </c>
      <c r="L470" s="128"/>
      <c r="M470" s="131"/>
      <c r="N470" s="134"/>
    </row>
    <row r="471" spans="1:14" x14ac:dyDescent="0.45">
      <c r="A471" s="138"/>
      <c r="B471" s="98"/>
      <c r="C471" s="30" t="str">
        <f>"SLSC-12201-2/P" &amp; ROUNDDOWN(D471/8,0) &amp; "." &amp; MOD(D471,8)</f>
        <v>SLSC-12201-2/P3.4</v>
      </c>
      <c r="D471" s="30">
        <f t="shared" si="178"/>
        <v>28</v>
      </c>
      <c r="E471" s="30" t="str">
        <f t="shared" si="179"/>
        <v>Input</v>
      </c>
      <c r="F471" s="30" t="str">
        <f t="shared" si="179"/>
        <v>None</v>
      </c>
      <c r="G471" s="30" t="str">
        <f t="shared" si="177"/>
        <v>None</v>
      </c>
      <c r="H471" s="41" t="str">
        <f>Paths!$B$20 &amp; "Bank " &amp; ROUNDDOWN(D471/16,0) &amp; "/Port " &amp; ROUNDDOWN(D471/8,0) &amp; "/Line " &amp;MOD(D471,8) &amp;"/Direction"</f>
        <v>Targets/Controller/Hardware/SLSC/SLSC Chassis/Modules/Slot 9 (SLSC-12201 DIO)/Bank 1/Port 3/Line 4/Direction</v>
      </c>
      <c r="I471" s="58" t="str">
        <f>"IO" &amp; A470</f>
        <v>IO93</v>
      </c>
      <c r="J471" s="142"/>
      <c r="K471" s="145"/>
      <c r="L471" s="147"/>
      <c r="M471" s="148"/>
      <c r="N471" s="149"/>
    </row>
    <row r="472" spans="1:14" x14ac:dyDescent="0.45">
      <c r="A472" s="138"/>
      <c r="B472" s="98"/>
      <c r="C472" s="30" t="str">
        <f>"PXIe-6375/AI" &amp; D472</f>
        <v>PXIe-6375/AI36</v>
      </c>
      <c r="D472" s="64">
        <f t="shared" si="178"/>
        <v>36</v>
      </c>
      <c r="E472" s="64" t="str">
        <f t="shared" si="179"/>
        <v>Scaled voltage 0-60 V</v>
      </c>
      <c r="F472" s="64" t="str">
        <f t="shared" si="179"/>
        <v>TBD</v>
      </c>
      <c r="G472" s="30" t="str">
        <f t="shared" si="177"/>
        <v>None</v>
      </c>
      <c r="H472" s="41" t="str">
        <f>Paths!$B$27 &amp; I472 &amp; Paths!$B$28</f>
        <v>Targets/Controller/Calculated Channels/ATE/IO93/AI</v>
      </c>
      <c r="I472" s="58" t="str">
        <f>"IO" &amp; A470</f>
        <v>IO93</v>
      </c>
      <c r="J472" s="142"/>
      <c r="K472" s="145"/>
      <c r="L472" s="147"/>
      <c r="M472" s="148"/>
      <c r="N472" s="149"/>
    </row>
    <row r="473" spans="1:14" ht="14.65" thickBot="1" x14ac:dyDescent="0.5">
      <c r="A473" s="139"/>
      <c r="B473" s="99"/>
      <c r="C473" s="31" t="str">
        <f>"PXI-2510-2/dut" &amp; D473</f>
        <v>PXI-2510-2/dut52</v>
      </c>
      <c r="D473" s="31">
        <f t="shared" si="178"/>
        <v>52</v>
      </c>
      <c r="E473" s="31" t="str">
        <f t="shared" si="179"/>
        <v>FIU</v>
      </c>
      <c r="F473" s="31" t="str">
        <f t="shared" si="179"/>
        <v>TBD</v>
      </c>
      <c r="G473" s="31" t="str">
        <f t="shared" si="177"/>
        <v>None</v>
      </c>
      <c r="H473" s="42" t="s">
        <v>28</v>
      </c>
      <c r="I473" s="59" t="str">
        <f>"IO" &amp; A470</f>
        <v>IO93</v>
      </c>
      <c r="J473" s="143"/>
      <c r="K473" s="146"/>
      <c r="L473" s="130"/>
      <c r="M473" s="133"/>
      <c r="N473" s="136"/>
    </row>
    <row r="474" spans="1:14" ht="15" customHeight="1" x14ac:dyDescent="0.45">
      <c r="A474" s="137">
        <f>A470+1</f>
        <v>94</v>
      </c>
      <c r="B474" s="140" t="str">
        <f>B470</f>
        <v>LOW LOAD
DI: 0-60 V
AI: 0-60 V
EXT LOAD</v>
      </c>
      <c r="C474" s="29" t="str">
        <f>"PXIe-7820R/DIO" &amp; D474</f>
        <v>PXIe-7820R/DIO61</v>
      </c>
      <c r="D474" s="29">
        <f t="shared" si="178"/>
        <v>61</v>
      </c>
      <c r="E474" s="55" t="str">
        <f t="shared" si="179"/>
        <v>FPGA DI (DI State)</v>
      </c>
      <c r="F474" s="55" t="str">
        <f t="shared" si="179"/>
        <v>DI</v>
      </c>
      <c r="G474" s="29" t="str">
        <f t="shared" si="177"/>
        <v>ATE/IO94/DI</v>
      </c>
      <c r="H474" s="39" t="str">
        <f>Paths!$B$3 &amp; I474 &amp; Paths!$B$8</f>
        <v>Targets/Controller/Custom Devices/FPGA Addon/Scalars/Scalar Inputs/DI.IO94/STATE</v>
      </c>
      <c r="I474" s="32" t="str">
        <f>"IO" &amp; A474</f>
        <v>IO94</v>
      </c>
      <c r="J474" s="141" t="s">
        <v>6</v>
      </c>
      <c r="K474" s="144" t="s">
        <v>7</v>
      </c>
      <c r="L474" s="128"/>
      <c r="M474" s="131"/>
      <c r="N474" s="134"/>
    </row>
    <row r="475" spans="1:14" x14ac:dyDescent="0.45">
      <c r="A475" s="138"/>
      <c r="B475" s="98"/>
      <c r="C475" s="30" t="str">
        <f>"SLSC-12201-2/P" &amp; ROUNDDOWN(D475/8,0) &amp; "." &amp; MOD(D475,8)</f>
        <v>SLSC-12201-2/P3.5</v>
      </c>
      <c r="D475" s="30">
        <f t="shared" si="178"/>
        <v>29</v>
      </c>
      <c r="E475" s="30" t="str">
        <f t="shared" si="179"/>
        <v>Input</v>
      </c>
      <c r="F475" s="30" t="str">
        <f t="shared" si="179"/>
        <v>None</v>
      </c>
      <c r="G475" s="30" t="str">
        <f t="shared" si="177"/>
        <v>None</v>
      </c>
      <c r="H475" s="41" t="str">
        <f>Paths!$B$20 &amp; "Bank " &amp; ROUNDDOWN(D475/16,0) &amp; "/Port " &amp; ROUNDDOWN(D475/8,0) &amp; "/Line " &amp;MOD(D475,8) &amp;"/Direction"</f>
        <v>Targets/Controller/Hardware/SLSC/SLSC Chassis/Modules/Slot 9 (SLSC-12201 DIO)/Bank 1/Port 3/Line 5/Direction</v>
      </c>
      <c r="I475" s="58" t="str">
        <f>"IO" &amp; A474</f>
        <v>IO94</v>
      </c>
      <c r="J475" s="142"/>
      <c r="K475" s="145"/>
      <c r="L475" s="147"/>
      <c r="M475" s="148"/>
      <c r="N475" s="149"/>
    </row>
    <row r="476" spans="1:14" x14ac:dyDescent="0.45">
      <c r="A476" s="138"/>
      <c r="B476" s="98"/>
      <c r="C476" s="30" t="str">
        <f>"PXIe-6375/AI" &amp; D476</f>
        <v>PXIe-6375/AI37</v>
      </c>
      <c r="D476" s="64">
        <f t="shared" si="178"/>
        <v>37</v>
      </c>
      <c r="E476" s="64" t="str">
        <f t="shared" si="179"/>
        <v>Scaled voltage 0-60 V</v>
      </c>
      <c r="F476" s="64" t="str">
        <f t="shared" si="179"/>
        <v>TBD</v>
      </c>
      <c r="G476" s="30" t="str">
        <f t="shared" si="177"/>
        <v>None</v>
      </c>
      <c r="H476" s="41" t="str">
        <f>Paths!$B$27 &amp; I476 &amp; Paths!$B$28</f>
        <v>Targets/Controller/Calculated Channels/ATE/IO94/AI</v>
      </c>
      <c r="I476" s="58" t="str">
        <f>"IO" &amp; A474</f>
        <v>IO94</v>
      </c>
      <c r="J476" s="142"/>
      <c r="K476" s="145"/>
      <c r="L476" s="147"/>
      <c r="M476" s="148"/>
      <c r="N476" s="149"/>
    </row>
    <row r="477" spans="1:14" ht="14.65" thickBot="1" x14ac:dyDescent="0.5">
      <c r="A477" s="139"/>
      <c r="B477" s="99"/>
      <c r="C477" s="31" t="str">
        <f>"PXI-2510-2/dut" &amp; D477</f>
        <v>PXI-2510-2/dut53</v>
      </c>
      <c r="D477" s="31">
        <f t="shared" si="178"/>
        <v>53</v>
      </c>
      <c r="E477" s="31" t="str">
        <f t="shared" si="179"/>
        <v>FIU</v>
      </c>
      <c r="F477" s="31" t="str">
        <f t="shared" si="179"/>
        <v>TBD</v>
      </c>
      <c r="G477" s="31" t="str">
        <f t="shared" si="177"/>
        <v>None</v>
      </c>
      <c r="H477" s="42" t="s">
        <v>28</v>
      </c>
      <c r="I477" s="59" t="str">
        <f>"IO" &amp; A474</f>
        <v>IO94</v>
      </c>
      <c r="J477" s="143"/>
      <c r="K477" s="146"/>
      <c r="L477" s="130"/>
      <c r="M477" s="133"/>
      <c r="N477" s="136"/>
    </row>
    <row r="478" spans="1:14" ht="15" customHeight="1" x14ac:dyDescent="0.45">
      <c r="A478" s="137">
        <f>A474+1</f>
        <v>95</v>
      </c>
      <c r="B478" s="140" t="str">
        <f>B474</f>
        <v>LOW LOAD
DI: 0-60 V
AI: 0-60 V
EXT LOAD</v>
      </c>
      <c r="C478" s="29" t="str">
        <f>"PXIe-7820R/DIO" &amp; D478</f>
        <v>PXIe-7820R/DIO62</v>
      </c>
      <c r="D478" s="29">
        <f t="shared" si="178"/>
        <v>62</v>
      </c>
      <c r="E478" s="55" t="str">
        <f t="shared" si="179"/>
        <v>FPGA DI (DI State)</v>
      </c>
      <c r="F478" s="55" t="str">
        <f t="shared" si="179"/>
        <v>DI</v>
      </c>
      <c r="G478" s="29" t="str">
        <f t="shared" si="177"/>
        <v>ATE/IO95/DI</v>
      </c>
      <c r="H478" s="39" t="str">
        <f>Paths!$B$3 &amp; I478 &amp; Paths!$B$8</f>
        <v>Targets/Controller/Custom Devices/FPGA Addon/Scalars/Scalar Inputs/DI.IO95/STATE</v>
      </c>
      <c r="I478" s="32" t="str">
        <f>"IO" &amp; A478</f>
        <v>IO95</v>
      </c>
      <c r="J478" s="141" t="s">
        <v>6</v>
      </c>
      <c r="K478" s="144" t="s">
        <v>7</v>
      </c>
      <c r="L478" s="128"/>
      <c r="M478" s="131"/>
      <c r="N478" s="134"/>
    </row>
    <row r="479" spans="1:14" x14ac:dyDescent="0.45">
      <c r="A479" s="138"/>
      <c r="B479" s="98"/>
      <c r="C479" s="30" t="str">
        <f>"SLSC-12201-2/P" &amp; ROUNDDOWN(D479/8,0) &amp; "." &amp; MOD(D479,8)</f>
        <v>SLSC-12201-2/P3.6</v>
      </c>
      <c r="D479" s="30">
        <f t="shared" si="178"/>
        <v>30</v>
      </c>
      <c r="E479" s="30" t="str">
        <f t="shared" si="179"/>
        <v>Input</v>
      </c>
      <c r="F479" s="30" t="str">
        <f t="shared" si="179"/>
        <v>None</v>
      </c>
      <c r="G479" s="30" t="str">
        <f t="shared" si="177"/>
        <v>None</v>
      </c>
      <c r="H479" s="41" t="str">
        <f>Paths!$B$20 &amp; "Bank " &amp; ROUNDDOWN(D479/16,0) &amp; "/Port " &amp; ROUNDDOWN(D479/8,0) &amp; "/Line " &amp;MOD(D479,8) &amp;"/Direction"</f>
        <v>Targets/Controller/Hardware/SLSC/SLSC Chassis/Modules/Slot 9 (SLSC-12201 DIO)/Bank 1/Port 3/Line 6/Direction</v>
      </c>
      <c r="I479" s="58" t="str">
        <f>"IO" &amp; A478</f>
        <v>IO95</v>
      </c>
      <c r="J479" s="142"/>
      <c r="K479" s="145"/>
      <c r="L479" s="147"/>
      <c r="M479" s="148"/>
      <c r="N479" s="149"/>
    </row>
    <row r="480" spans="1:14" x14ac:dyDescent="0.45">
      <c r="A480" s="138"/>
      <c r="B480" s="98"/>
      <c r="C480" s="30" t="str">
        <f>"PXIe-6375/AI" &amp; D480</f>
        <v>PXIe-6375/AI38</v>
      </c>
      <c r="D480" s="64">
        <f t="shared" si="178"/>
        <v>38</v>
      </c>
      <c r="E480" s="64" t="str">
        <f t="shared" si="179"/>
        <v>Scaled voltage 0-60 V</v>
      </c>
      <c r="F480" s="64" t="str">
        <f t="shared" si="179"/>
        <v>TBD</v>
      </c>
      <c r="G480" s="30" t="str">
        <f t="shared" si="177"/>
        <v>None</v>
      </c>
      <c r="H480" s="41" t="str">
        <f>Paths!$B$27 &amp; I480 &amp; Paths!$B$28</f>
        <v>Targets/Controller/Calculated Channels/ATE/IO95/AI</v>
      </c>
      <c r="I480" s="58" t="str">
        <f>"IO" &amp; A478</f>
        <v>IO95</v>
      </c>
      <c r="J480" s="142"/>
      <c r="K480" s="145"/>
      <c r="L480" s="147"/>
      <c r="M480" s="148"/>
      <c r="N480" s="149"/>
    </row>
    <row r="481" spans="1:14" ht="14.65" thickBot="1" x14ac:dyDescent="0.5">
      <c r="A481" s="139"/>
      <c r="B481" s="99"/>
      <c r="C481" s="31" t="str">
        <f>"PXI-2510-2/dut" &amp; D481</f>
        <v>PXI-2510-2/dut54</v>
      </c>
      <c r="D481" s="31">
        <f t="shared" si="178"/>
        <v>54</v>
      </c>
      <c r="E481" s="31" t="str">
        <f t="shared" si="179"/>
        <v>FIU</v>
      </c>
      <c r="F481" s="31" t="str">
        <f t="shared" si="179"/>
        <v>TBD</v>
      </c>
      <c r="G481" s="31" t="str">
        <f t="shared" si="177"/>
        <v>None</v>
      </c>
      <c r="H481" s="42" t="s">
        <v>28</v>
      </c>
      <c r="I481" s="59" t="str">
        <f>"IO" &amp; A478</f>
        <v>IO95</v>
      </c>
      <c r="J481" s="143"/>
      <c r="K481" s="146"/>
      <c r="L481" s="130"/>
      <c r="M481" s="133"/>
      <c r="N481" s="136"/>
    </row>
    <row r="482" spans="1:14" ht="15" customHeight="1" x14ac:dyDescent="0.45">
      <c r="A482" s="137">
        <f>A478+1</f>
        <v>96</v>
      </c>
      <c r="B482" s="140" t="str">
        <f>B478</f>
        <v>LOW LOAD
DI: 0-60 V
AI: 0-60 V
EXT LOAD</v>
      </c>
      <c r="C482" s="29" t="str">
        <f>"PXIe-7820R/DIO" &amp; D482</f>
        <v>PXIe-7820R/DIO63</v>
      </c>
      <c r="D482" s="29">
        <f t="shared" si="178"/>
        <v>63</v>
      </c>
      <c r="E482" s="55" t="str">
        <f t="shared" si="179"/>
        <v>FPGA DI (DI State)</v>
      </c>
      <c r="F482" s="55" t="str">
        <f t="shared" si="179"/>
        <v>DI</v>
      </c>
      <c r="G482" s="29" t="str">
        <f t="shared" si="177"/>
        <v>ATE/IO96/DI</v>
      </c>
      <c r="H482" s="39" t="str">
        <f>Paths!$B$3 &amp; I482 &amp; Paths!$B$8</f>
        <v>Targets/Controller/Custom Devices/FPGA Addon/Scalars/Scalar Inputs/DI.IO96/STATE</v>
      </c>
      <c r="I482" s="32" t="str">
        <f>"IO" &amp; A482</f>
        <v>IO96</v>
      </c>
      <c r="J482" s="141" t="s">
        <v>6</v>
      </c>
      <c r="K482" s="144" t="s">
        <v>7</v>
      </c>
      <c r="L482" s="128"/>
      <c r="M482" s="131"/>
      <c r="N482" s="134"/>
    </row>
    <row r="483" spans="1:14" x14ac:dyDescent="0.45">
      <c r="A483" s="138"/>
      <c r="B483" s="98"/>
      <c r="C483" s="30" t="str">
        <f>"SLSC-12201-2/P" &amp; ROUNDDOWN(D483/8,0) &amp; "." &amp; MOD(D483,8)</f>
        <v>SLSC-12201-2/P3.7</v>
      </c>
      <c r="D483" s="30">
        <f t="shared" si="178"/>
        <v>31</v>
      </c>
      <c r="E483" s="30" t="str">
        <f t="shared" si="179"/>
        <v>Input</v>
      </c>
      <c r="F483" s="30" t="str">
        <f t="shared" si="179"/>
        <v>None</v>
      </c>
      <c r="G483" s="30" t="str">
        <f t="shared" si="177"/>
        <v>None</v>
      </c>
      <c r="H483" s="41" t="str">
        <f>Paths!$B$20 &amp; "Bank " &amp; ROUNDDOWN(D483/16,0) &amp; "/Port " &amp; ROUNDDOWN(D483/8,0) &amp; "/Line " &amp;MOD(D483,8) &amp;"/Direction"</f>
        <v>Targets/Controller/Hardware/SLSC/SLSC Chassis/Modules/Slot 9 (SLSC-12201 DIO)/Bank 1/Port 3/Line 7/Direction</v>
      </c>
      <c r="I483" s="58" t="str">
        <f>"IO" &amp; A482</f>
        <v>IO96</v>
      </c>
      <c r="J483" s="142"/>
      <c r="K483" s="145"/>
      <c r="L483" s="147"/>
      <c r="M483" s="148"/>
      <c r="N483" s="149"/>
    </row>
    <row r="484" spans="1:14" x14ac:dyDescent="0.45">
      <c r="A484" s="138"/>
      <c r="B484" s="98"/>
      <c r="C484" s="30" t="str">
        <f>"PXIe-6375/AI" &amp; D484</f>
        <v>PXIe-6375/AI39</v>
      </c>
      <c r="D484" s="64">
        <f t="shared" si="178"/>
        <v>39</v>
      </c>
      <c r="E484" s="64" t="str">
        <f t="shared" si="179"/>
        <v>Scaled voltage 0-60 V</v>
      </c>
      <c r="F484" s="64" t="str">
        <f t="shared" si="179"/>
        <v>TBD</v>
      </c>
      <c r="G484" s="30" t="str">
        <f t="shared" si="177"/>
        <v>None</v>
      </c>
      <c r="H484" s="41" t="str">
        <f>Paths!$B$27 &amp; I484 &amp; Paths!$B$28</f>
        <v>Targets/Controller/Calculated Channels/ATE/IO96/AI</v>
      </c>
      <c r="I484" s="58" t="str">
        <f>"IO" &amp; A482</f>
        <v>IO96</v>
      </c>
      <c r="J484" s="142"/>
      <c r="K484" s="145"/>
      <c r="L484" s="147"/>
      <c r="M484" s="148"/>
      <c r="N484" s="149"/>
    </row>
    <row r="485" spans="1:14" ht="14.65" thickBot="1" x14ac:dyDescent="0.5">
      <c r="A485" s="139"/>
      <c r="B485" s="99"/>
      <c r="C485" s="31" t="str">
        <f>"PXI-2510-2/dut" &amp; D485</f>
        <v>PXI-2510-2/dut55</v>
      </c>
      <c r="D485" s="31">
        <f t="shared" si="178"/>
        <v>55</v>
      </c>
      <c r="E485" s="31" t="str">
        <f t="shared" si="179"/>
        <v>FIU</v>
      </c>
      <c r="F485" s="31" t="str">
        <f t="shared" si="179"/>
        <v>TBD</v>
      </c>
      <c r="G485" s="31" t="str">
        <f t="shared" si="177"/>
        <v>None</v>
      </c>
      <c r="H485" s="42" t="s">
        <v>28</v>
      </c>
      <c r="I485" s="59" t="str">
        <f>"IO" &amp; A482</f>
        <v>IO96</v>
      </c>
      <c r="J485" s="143"/>
      <c r="K485" s="146"/>
      <c r="L485" s="130"/>
      <c r="M485" s="133"/>
      <c r="N485" s="136"/>
    </row>
    <row r="486" spans="1:14" ht="77.25" customHeight="1" thickBot="1" x14ac:dyDescent="0.5">
      <c r="A486" s="63"/>
      <c r="B486" s="48"/>
      <c r="C486" s="50"/>
      <c r="D486" s="62"/>
      <c r="E486" s="62"/>
      <c r="F486" s="62"/>
      <c r="G486" s="50"/>
      <c r="H486" s="51"/>
      <c r="I486" s="43"/>
      <c r="J486" s="20"/>
      <c r="K486" s="27"/>
      <c r="L486" s="52"/>
      <c r="M486" s="26"/>
      <c r="N486" s="53"/>
    </row>
    <row r="487" spans="1:14" ht="15" customHeight="1" x14ac:dyDescent="0.45">
      <c r="A487" s="150">
        <v>97</v>
      </c>
      <c r="B487" s="123" t="s">
        <v>81</v>
      </c>
      <c r="C487" s="69" t="str">
        <f>"PXIe-7820R/DIO" &amp; D487</f>
        <v>PXIe-7820R/DIO64</v>
      </c>
      <c r="D487" s="44">
        <v>64</v>
      </c>
      <c r="E487" s="54" t="s">
        <v>71</v>
      </c>
      <c r="F487" s="54" t="s">
        <v>114</v>
      </c>
      <c r="G487" s="29" t="str">
        <f t="shared" ref="G487:G576" si="180">IF(OR(F487="None",F487="TBD"),"None",_xlfn.CONCAT("ATE/",I487,"/",F487))</f>
        <v>ATE/IO97/PWM_FR</v>
      </c>
      <c r="H487" s="39" t="str">
        <f>Paths!$B$4 &amp; I487 &amp; Paths!$B$9</f>
        <v>Targets/Controller/Custom Devices/FPGA Addon/Scalars/Scalar Inputs/PWM.In.IO97/FREQ</v>
      </c>
      <c r="I487" s="32" t="str">
        <f>"IO" &amp; A487</f>
        <v>IO97</v>
      </c>
      <c r="J487" s="103" t="s">
        <v>6</v>
      </c>
      <c r="K487" s="103" t="s">
        <v>7</v>
      </c>
      <c r="L487" s="128"/>
      <c r="M487" s="131"/>
      <c r="N487" s="134"/>
    </row>
    <row r="488" spans="1:14" x14ac:dyDescent="0.45">
      <c r="A488" s="151"/>
      <c r="B488" s="153"/>
      <c r="C488" s="70" t="str">
        <f>"PXIe-7820R/DIO" &amp; D488</f>
        <v>PXIe-7820R/DIO64</v>
      </c>
      <c r="D488" s="45">
        <v>64</v>
      </c>
      <c r="E488" s="45" t="s">
        <v>71</v>
      </c>
      <c r="F488" s="45" t="s">
        <v>115</v>
      </c>
      <c r="G488" s="30" t="str">
        <f t="shared" si="180"/>
        <v>ATE/IO97/PWM_DC</v>
      </c>
      <c r="H488" s="40" t="str">
        <f>Paths!$B$4 &amp; I488 &amp; Paths!$B$10</f>
        <v>Targets/Controller/Custom Devices/FPGA Addon/Scalars/Scalar Inputs/PWM.In.IO97/DC</v>
      </c>
      <c r="I488" s="33" t="str">
        <f>"IO" &amp; A487</f>
        <v>IO97</v>
      </c>
      <c r="J488" s="104"/>
      <c r="K488" s="104"/>
      <c r="L488" s="129"/>
      <c r="M488" s="132"/>
      <c r="N488" s="135"/>
    </row>
    <row r="489" spans="1:14" x14ac:dyDescent="0.45">
      <c r="A489" s="151"/>
      <c r="B489" s="153"/>
      <c r="C489" s="70" t="str">
        <f>"PXIe-7820R/DIO" &amp; D489</f>
        <v>PXIe-7820R/DIO64</v>
      </c>
      <c r="D489" s="45">
        <v>64</v>
      </c>
      <c r="E489" s="45" t="s">
        <v>133</v>
      </c>
      <c r="F489" s="45" t="s">
        <v>55</v>
      </c>
      <c r="G489" s="30" t="str">
        <f t="shared" si="180"/>
        <v>ATE/IO97/DI</v>
      </c>
      <c r="H489" s="90" t="str">
        <f>Paths!$B$3 &amp; I489 &amp; Paths!$B$8</f>
        <v>Targets/Controller/Custom Devices/FPGA Addon/Scalars/Scalar Inputs/DI.IO97/STATE</v>
      </c>
      <c r="I489" s="33" t="str">
        <f>I488</f>
        <v>IO97</v>
      </c>
      <c r="J489" s="104"/>
      <c r="K489" s="104"/>
      <c r="L489" s="129"/>
      <c r="M489" s="132"/>
      <c r="N489" s="135"/>
    </row>
    <row r="490" spans="1:14" x14ac:dyDescent="0.45">
      <c r="A490" s="151"/>
      <c r="B490" s="153"/>
      <c r="C490" s="70" t="str">
        <f>"PXIe-7820R/DIO" &amp; D490</f>
        <v>PXIe-7820R/DIO64</v>
      </c>
      <c r="D490" s="45">
        <v>64</v>
      </c>
      <c r="E490" s="45" t="s">
        <v>71</v>
      </c>
      <c r="F490" s="45" t="s">
        <v>135</v>
      </c>
      <c r="G490" s="30" t="str">
        <f t="shared" si="180"/>
        <v>ATE/IO97/PWM_TIMEOUT</v>
      </c>
      <c r="H490" s="40" t="str">
        <f>Paths!$B$5 &amp; I490 &amp; Paths!$B$11</f>
        <v>Targets/Controller/Custom Devices/FPGA Addon/Scalars/Scalar Outputs/PWM.Set.IO97/TIMEOUT</v>
      </c>
      <c r="I490" s="33" t="str">
        <f>"IO" &amp; A487</f>
        <v>IO97</v>
      </c>
      <c r="J490" s="104"/>
      <c r="K490" s="104"/>
      <c r="L490" s="129"/>
      <c r="M490" s="132"/>
      <c r="N490" s="135"/>
    </row>
    <row r="491" spans="1:14" x14ac:dyDescent="0.45">
      <c r="A491" s="151"/>
      <c r="B491" s="153"/>
      <c r="C491" s="70" t="str">
        <f>"SLSC-12202-1/P" &amp; ROUNDDOWN(D491/8,0) &amp; "." &amp; MOD(D491,8)</f>
        <v>SLSC-12202-1/P0.0</v>
      </c>
      <c r="D491" s="45">
        <v>0</v>
      </c>
      <c r="E491" s="45" t="s">
        <v>12</v>
      </c>
      <c r="F491" s="45" t="s">
        <v>17</v>
      </c>
      <c r="G491" s="30" t="str">
        <f>IF(OR(F491="None",F491="TBD"),"None",_xlfn.CONCAT("ATE/Config/",I491,"/",F491))</f>
        <v>None</v>
      </c>
      <c r="H491" s="36" t="str">
        <f>Paths!$B$17 &amp; "port" &amp; ROUNDDOWN(D491/8,0) &amp; "//line" &amp;MOD(D491,8) &amp;"/Properties/NI.Line.Direction"</f>
        <v>Targets/Controller/Hardware/SLSC/SLSC Chassis/Modules/Slot 6 (SLSC EDS)/Physical Channels/port0//line0/Properties/NI.Line.Direction</v>
      </c>
      <c r="I491" s="33" t="str">
        <f>"IO" &amp; A487</f>
        <v>IO97</v>
      </c>
      <c r="J491" s="104"/>
      <c r="K491" s="104"/>
      <c r="L491" s="129"/>
      <c r="M491" s="132"/>
      <c r="N491" s="135"/>
    </row>
    <row r="492" spans="1:14" x14ac:dyDescent="0.45">
      <c r="A492" s="151"/>
      <c r="B492" s="153"/>
      <c r="C492" s="70" t="str">
        <f>"PXIe-6375/AI" &amp; D492</f>
        <v>PXIe-6375/AI80</v>
      </c>
      <c r="D492" s="45">
        <v>80</v>
      </c>
      <c r="E492" s="47" t="s">
        <v>74</v>
      </c>
      <c r="F492" s="45" t="s">
        <v>28</v>
      </c>
      <c r="G492" s="30" t="str">
        <f t="shared" si="180"/>
        <v>None</v>
      </c>
      <c r="H492" s="41" t="str">
        <f>Paths!$B$27 &amp; I492 &amp; Paths!$B$29</f>
        <v>Targets/Controller/Calculated Channels/ATE/IO97/AI</v>
      </c>
      <c r="I492" s="33" t="str">
        <f>"IO" &amp; A487</f>
        <v>IO97</v>
      </c>
      <c r="J492" s="104"/>
      <c r="K492" s="104"/>
      <c r="L492" s="129"/>
      <c r="M492" s="132"/>
      <c r="N492" s="135"/>
    </row>
    <row r="493" spans="1:14" ht="14.65" thickBot="1" x14ac:dyDescent="0.5">
      <c r="A493" s="152"/>
      <c r="B493" s="154"/>
      <c r="C493" s="71" t="str">
        <f>"SLSC-12251-1/Ch" &amp; D493 &amp; "_DUT"</f>
        <v>SLSC-12251-1/Ch0_DUT</v>
      </c>
      <c r="D493" s="46">
        <v>0</v>
      </c>
      <c r="E493" s="46" t="s">
        <v>0</v>
      </c>
      <c r="F493" s="46" t="s">
        <v>28</v>
      </c>
      <c r="G493" s="31" t="str">
        <f t="shared" si="180"/>
        <v>None</v>
      </c>
      <c r="H493" s="42" t="str">
        <f>Paths!$B$13 &amp; D493</f>
        <v>Targets/Controller/Hardware/SLSC/SLSC Chassis/Modules/Slot 1 (SLSC EDS :: SLSC-12251)/Physical Channels/Channel_0</v>
      </c>
      <c r="I493" s="59" t="str">
        <f>"IO" &amp; A487</f>
        <v>IO97</v>
      </c>
      <c r="J493" s="105"/>
      <c r="K493" s="105"/>
      <c r="L493" s="130"/>
      <c r="M493" s="133"/>
      <c r="N493" s="136"/>
    </row>
    <row r="494" spans="1:14" ht="15" customHeight="1" x14ac:dyDescent="0.45">
      <c r="A494" s="97">
        <f>A487+1</f>
        <v>98</v>
      </c>
      <c r="B494" s="100" t="str">
        <f>B487</f>
        <v>HIGH LOAD
DI: 0-60 V
AI: 0-60 V
EXT LOAD</v>
      </c>
      <c r="C494" s="69" t="str">
        <f>"PXIe-7820R/DIO" &amp; D494</f>
        <v>PXIe-7820R/DIO65</v>
      </c>
      <c r="D494" s="29">
        <f t="shared" ref="D494:D525" si="181">D487+1</f>
        <v>65</v>
      </c>
      <c r="E494" s="55" t="str">
        <f t="shared" ref="E494:F513" si="182">E487</f>
        <v>FPGA DI (PWM Meas.)</v>
      </c>
      <c r="F494" s="55" t="str">
        <f t="shared" si="182"/>
        <v>PWM_FR</v>
      </c>
      <c r="G494" s="29" t="str">
        <f t="shared" si="180"/>
        <v>ATE/IO98/PWM_FR</v>
      </c>
      <c r="H494" s="39" t="str">
        <f>Paths!$B$4 &amp; I494 &amp; Paths!$B$9</f>
        <v>Targets/Controller/Custom Devices/FPGA Addon/Scalars/Scalar Inputs/PWM.In.IO98/FREQ</v>
      </c>
      <c r="I494" s="32" t="str">
        <f>"IO" &amp; A494</f>
        <v>IO98</v>
      </c>
      <c r="J494" s="103" t="s">
        <v>6</v>
      </c>
      <c r="K494" s="103" t="s">
        <v>7</v>
      </c>
      <c r="L494" s="106"/>
      <c r="M494" s="91"/>
      <c r="N494" s="94"/>
    </row>
    <row r="495" spans="1:14" x14ac:dyDescent="0.45">
      <c r="A495" s="98"/>
      <c r="B495" s="101"/>
      <c r="C495" s="70" t="str">
        <f>"PXIe-7820R/DIO" &amp; D495</f>
        <v>PXIe-7820R/DIO65</v>
      </c>
      <c r="D495" s="30">
        <f t="shared" si="181"/>
        <v>65</v>
      </c>
      <c r="E495" s="30" t="str">
        <f t="shared" si="182"/>
        <v>FPGA DI (PWM Meas.)</v>
      </c>
      <c r="F495" s="30" t="str">
        <f t="shared" si="182"/>
        <v>PWM_DC</v>
      </c>
      <c r="G495" s="30" t="str">
        <f t="shared" si="180"/>
        <v>ATE/IO98/PWM_DC</v>
      </c>
      <c r="H495" s="40" t="str">
        <f>Paths!$B$4 &amp; I495 &amp; Paths!$B$10</f>
        <v>Targets/Controller/Custom Devices/FPGA Addon/Scalars/Scalar Inputs/PWM.In.IO98/DC</v>
      </c>
      <c r="I495" s="33" t="str">
        <f>"IO" &amp; A494</f>
        <v>IO98</v>
      </c>
      <c r="J495" s="104"/>
      <c r="K495" s="104"/>
      <c r="L495" s="107"/>
      <c r="M495" s="92"/>
      <c r="N495" s="95"/>
    </row>
    <row r="496" spans="1:14" x14ac:dyDescent="0.45">
      <c r="A496" s="98"/>
      <c r="B496" s="101"/>
      <c r="C496" s="70" t="str">
        <f>"PXIe-7820R/DIO" &amp; D496</f>
        <v>PXIe-7820R/DIO65</v>
      </c>
      <c r="D496" s="30">
        <f t="shared" si="181"/>
        <v>65</v>
      </c>
      <c r="E496" s="30" t="str">
        <f t="shared" si="182"/>
        <v>PFGA DI (DI State)</v>
      </c>
      <c r="F496" s="30" t="str">
        <f t="shared" si="182"/>
        <v>DI</v>
      </c>
      <c r="G496" s="30" t="str">
        <f t="shared" si="180"/>
        <v>ATE/IO98/DI</v>
      </c>
      <c r="H496" s="90" t="str">
        <f>Paths!$B$3 &amp; I496 &amp; Paths!$B$8</f>
        <v>Targets/Controller/Custom Devices/FPGA Addon/Scalars/Scalar Inputs/DI.IO98/STATE</v>
      </c>
      <c r="I496" s="33" t="str">
        <f>I495</f>
        <v>IO98</v>
      </c>
      <c r="J496" s="104"/>
      <c r="K496" s="104"/>
      <c r="L496" s="107"/>
      <c r="M496" s="92"/>
      <c r="N496" s="95"/>
    </row>
    <row r="497" spans="1:14" x14ac:dyDescent="0.45">
      <c r="A497" s="98"/>
      <c r="B497" s="101"/>
      <c r="C497" s="70" t="str">
        <f>"PXIe-7820R/DIO" &amp; D497</f>
        <v>PXIe-7820R/DIO65</v>
      </c>
      <c r="D497" s="30">
        <f t="shared" si="181"/>
        <v>65</v>
      </c>
      <c r="E497" s="30" t="str">
        <f t="shared" si="182"/>
        <v>FPGA DI (PWM Meas.)</v>
      </c>
      <c r="F497" s="30" t="str">
        <f t="shared" si="182"/>
        <v>PWM_TIMEOUT</v>
      </c>
      <c r="G497" s="30" t="str">
        <f t="shared" si="180"/>
        <v>ATE/IO98/PWM_TIMEOUT</v>
      </c>
      <c r="H497" s="40" t="str">
        <f>Paths!$B$5 &amp; I497 &amp; Paths!$B$11</f>
        <v>Targets/Controller/Custom Devices/FPGA Addon/Scalars/Scalar Outputs/PWM.Set.IO98/TIMEOUT</v>
      </c>
      <c r="I497" s="33" t="str">
        <f>"IO" &amp; A494</f>
        <v>IO98</v>
      </c>
      <c r="J497" s="104"/>
      <c r="K497" s="104"/>
      <c r="L497" s="107"/>
      <c r="M497" s="92"/>
      <c r="N497" s="95"/>
    </row>
    <row r="498" spans="1:14" x14ac:dyDescent="0.45">
      <c r="A498" s="98"/>
      <c r="B498" s="101"/>
      <c r="C498" s="70" t="str">
        <f>"SLSC-12202-1/P" &amp; ROUNDDOWN(D498/8,0) &amp; "." &amp; MOD(D498,8)</f>
        <v>SLSC-12202-1/P0.1</v>
      </c>
      <c r="D498" s="30">
        <f t="shared" si="181"/>
        <v>1</v>
      </c>
      <c r="E498" s="30" t="str">
        <f t="shared" si="182"/>
        <v>Input</v>
      </c>
      <c r="F498" s="30" t="str">
        <f t="shared" si="182"/>
        <v>None</v>
      </c>
      <c r="G498" s="30" t="str">
        <f t="shared" si="180"/>
        <v>None</v>
      </c>
      <c r="H498" s="36" t="str">
        <f>Paths!$B$17 &amp; "port" &amp; ROUNDDOWN(D498/8,0) &amp; "//line" &amp;MOD(D498,8) &amp;"/Properties/NI.Line.Direction"</f>
        <v>Targets/Controller/Hardware/SLSC/SLSC Chassis/Modules/Slot 6 (SLSC EDS)/Physical Channels/port0//line1/Properties/NI.Line.Direction</v>
      </c>
      <c r="I498" s="33" t="str">
        <f>"IO" &amp; A494</f>
        <v>IO98</v>
      </c>
      <c r="J498" s="104"/>
      <c r="K498" s="104"/>
      <c r="L498" s="107"/>
      <c r="M498" s="92"/>
      <c r="N498" s="95"/>
    </row>
    <row r="499" spans="1:14" x14ac:dyDescent="0.45">
      <c r="A499" s="98"/>
      <c r="B499" s="101"/>
      <c r="C499" s="70" t="str">
        <f>"PXIe-6375/AI" &amp; D499</f>
        <v>PXIe-6375/AI81</v>
      </c>
      <c r="D499" s="30">
        <f t="shared" si="181"/>
        <v>81</v>
      </c>
      <c r="E499" s="56" t="str">
        <f t="shared" si="182"/>
        <v>Scaled current 0-8 A</v>
      </c>
      <c r="F499" s="30" t="str">
        <f t="shared" si="182"/>
        <v>TBD</v>
      </c>
      <c r="G499" s="30" t="str">
        <f t="shared" si="180"/>
        <v>None</v>
      </c>
      <c r="H499" s="41" t="str">
        <f>Paths!$B$27 &amp; I499 &amp; Paths!$B$29</f>
        <v>Targets/Controller/Calculated Channels/ATE/IO98/AI</v>
      </c>
      <c r="I499" s="33" t="str">
        <f>"IO" &amp; A494</f>
        <v>IO98</v>
      </c>
      <c r="J499" s="104"/>
      <c r="K499" s="104"/>
      <c r="L499" s="107"/>
      <c r="M499" s="92"/>
      <c r="N499" s="95"/>
    </row>
    <row r="500" spans="1:14" ht="14.65" thickBot="1" x14ac:dyDescent="0.5">
      <c r="A500" s="99"/>
      <c r="B500" s="102"/>
      <c r="C500" s="71" t="str">
        <f>"SLSC-12251-1/Ch" &amp; D500 &amp; "_DUT"</f>
        <v>SLSC-12251-1/Ch1_DUT</v>
      </c>
      <c r="D500" s="31">
        <f t="shared" si="181"/>
        <v>1</v>
      </c>
      <c r="E500" s="31" t="str">
        <f t="shared" si="182"/>
        <v>FIU</v>
      </c>
      <c r="F500" s="31" t="str">
        <f t="shared" si="182"/>
        <v>TBD</v>
      </c>
      <c r="G500" s="31" t="str">
        <f t="shared" si="180"/>
        <v>None</v>
      </c>
      <c r="H500" s="42" t="str">
        <f>Paths!$B$13 &amp; D500</f>
        <v>Targets/Controller/Hardware/SLSC/SLSC Chassis/Modules/Slot 1 (SLSC EDS :: SLSC-12251)/Physical Channels/Channel_1</v>
      </c>
      <c r="I500" s="59" t="str">
        <f>"IO" &amp; A494</f>
        <v>IO98</v>
      </c>
      <c r="J500" s="105"/>
      <c r="K500" s="105"/>
      <c r="L500" s="108"/>
      <c r="M500" s="93"/>
      <c r="N500" s="96"/>
    </row>
    <row r="501" spans="1:14" ht="15" customHeight="1" x14ac:dyDescent="0.45">
      <c r="A501" s="97">
        <f>A494+1</f>
        <v>99</v>
      </c>
      <c r="B501" s="100" t="str">
        <f>B494</f>
        <v>HIGH LOAD
DI: 0-60 V
AI: 0-60 V
EXT LOAD</v>
      </c>
      <c r="C501" s="69" t="str">
        <f>"PXIe-7820R/DIO" &amp; D501</f>
        <v>PXIe-7820R/DIO66</v>
      </c>
      <c r="D501" s="29">
        <f t="shared" si="181"/>
        <v>66</v>
      </c>
      <c r="E501" s="55" t="str">
        <f t="shared" si="182"/>
        <v>FPGA DI (PWM Meas.)</v>
      </c>
      <c r="F501" s="55" t="str">
        <f t="shared" si="182"/>
        <v>PWM_FR</v>
      </c>
      <c r="G501" s="29" t="str">
        <f t="shared" si="180"/>
        <v>ATE/IO99/PWM_FR</v>
      </c>
      <c r="H501" s="39" t="str">
        <f>Paths!$B$4 &amp; I501 &amp; Paths!$B$9</f>
        <v>Targets/Controller/Custom Devices/FPGA Addon/Scalars/Scalar Inputs/PWM.In.IO99/FREQ</v>
      </c>
      <c r="I501" s="32" t="str">
        <f>"IO" &amp; A501</f>
        <v>IO99</v>
      </c>
      <c r="J501" s="103" t="s">
        <v>6</v>
      </c>
      <c r="K501" s="103" t="s">
        <v>7</v>
      </c>
      <c r="L501" s="106"/>
      <c r="M501" s="91"/>
      <c r="N501" s="94"/>
    </row>
    <row r="502" spans="1:14" x14ac:dyDescent="0.45">
      <c r="A502" s="98"/>
      <c r="B502" s="101"/>
      <c r="C502" s="70" t="str">
        <f>"PXIe-7820R/DIO" &amp; D502</f>
        <v>PXIe-7820R/DIO66</v>
      </c>
      <c r="D502" s="30">
        <f t="shared" si="181"/>
        <v>66</v>
      </c>
      <c r="E502" s="30" t="str">
        <f t="shared" si="182"/>
        <v>FPGA DI (PWM Meas.)</v>
      </c>
      <c r="F502" s="30" t="str">
        <f t="shared" si="182"/>
        <v>PWM_DC</v>
      </c>
      <c r="G502" s="30" t="str">
        <f t="shared" si="180"/>
        <v>ATE/IO99/PWM_DC</v>
      </c>
      <c r="H502" s="40" t="str">
        <f>Paths!$B$4 &amp; I502 &amp; Paths!$B$10</f>
        <v>Targets/Controller/Custom Devices/FPGA Addon/Scalars/Scalar Inputs/PWM.In.IO99/DC</v>
      </c>
      <c r="I502" s="33" t="str">
        <f>"IO" &amp; A501</f>
        <v>IO99</v>
      </c>
      <c r="J502" s="104"/>
      <c r="K502" s="104"/>
      <c r="L502" s="107"/>
      <c r="M502" s="92"/>
      <c r="N502" s="95"/>
    </row>
    <row r="503" spans="1:14" x14ac:dyDescent="0.45">
      <c r="A503" s="98"/>
      <c r="B503" s="101"/>
      <c r="C503" s="70" t="str">
        <f>"PXIe-7820R/DIO" &amp; D503</f>
        <v>PXIe-7820R/DIO66</v>
      </c>
      <c r="D503" s="30">
        <f t="shared" si="181"/>
        <v>66</v>
      </c>
      <c r="E503" s="30" t="str">
        <f t="shared" si="182"/>
        <v>PFGA DI (DI State)</v>
      </c>
      <c r="F503" s="30" t="str">
        <f t="shared" si="182"/>
        <v>DI</v>
      </c>
      <c r="G503" s="30" t="str">
        <f t="shared" ref="G503" si="183">IF(OR(F503="None",F503="TBD"),"None",_xlfn.CONCAT("ATE/",I503,"/",F503))</f>
        <v>ATE/IO99/DI</v>
      </c>
      <c r="H503" s="90" t="str">
        <f>Paths!$B$3 &amp; I503 &amp; Paths!$B$8</f>
        <v>Targets/Controller/Custom Devices/FPGA Addon/Scalars/Scalar Inputs/DI.IO99/STATE</v>
      </c>
      <c r="I503" s="33" t="str">
        <f>I502</f>
        <v>IO99</v>
      </c>
      <c r="J503" s="104"/>
      <c r="K503" s="104"/>
      <c r="L503" s="107"/>
      <c r="M503" s="92"/>
      <c r="N503" s="95"/>
    </row>
    <row r="504" spans="1:14" x14ac:dyDescent="0.45">
      <c r="A504" s="98"/>
      <c r="B504" s="101"/>
      <c r="C504" s="70" t="str">
        <f>"PXIe-7820R/DIO" &amp; D504</f>
        <v>PXIe-7820R/DIO66</v>
      </c>
      <c r="D504" s="30">
        <f t="shared" si="181"/>
        <v>66</v>
      </c>
      <c r="E504" s="30" t="str">
        <f t="shared" si="182"/>
        <v>FPGA DI (PWM Meas.)</v>
      </c>
      <c r="F504" s="30" t="str">
        <f t="shared" si="182"/>
        <v>PWM_TIMEOUT</v>
      </c>
      <c r="G504" s="30" t="str">
        <f t="shared" ref="G504" si="184">IF(OR(F504="None",F504="TBD"),"None",_xlfn.CONCAT("ATE/",I504,"/",F504))</f>
        <v>ATE/IO99/PWM_TIMEOUT</v>
      </c>
      <c r="H504" s="40" t="str">
        <f>Paths!$B$5 &amp; I504 &amp; Paths!$B$11</f>
        <v>Targets/Controller/Custom Devices/FPGA Addon/Scalars/Scalar Outputs/PWM.Set.IO99/TIMEOUT</v>
      </c>
      <c r="I504" s="33" t="str">
        <f>"IO" &amp; A501</f>
        <v>IO99</v>
      </c>
      <c r="J504" s="104"/>
      <c r="K504" s="104"/>
      <c r="L504" s="107"/>
      <c r="M504" s="92"/>
      <c r="N504" s="95"/>
    </row>
    <row r="505" spans="1:14" x14ac:dyDescent="0.45">
      <c r="A505" s="98"/>
      <c r="B505" s="101"/>
      <c r="C505" s="70" t="str">
        <f>"SLSC-12202-1/P" &amp; ROUNDDOWN(D505/8,0) &amp; "." &amp; MOD(D505,8)</f>
        <v>SLSC-12202-1/P0.2</v>
      </c>
      <c r="D505" s="30">
        <f t="shared" si="181"/>
        <v>2</v>
      </c>
      <c r="E505" s="30" t="str">
        <f t="shared" si="182"/>
        <v>Input</v>
      </c>
      <c r="F505" s="30" t="str">
        <f t="shared" si="182"/>
        <v>None</v>
      </c>
      <c r="G505" s="30" t="str">
        <f t="shared" si="180"/>
        <v>None</v>
      </c>
      <c r="H505" s="36" t="str">
        <f>Paths!$B$17 &amp; "port" &amp; ROUNDDOWN(D505/8,0) &amp; "//line" &amp;MOD(D505,8) &amp;"/Properties/NI.Line.Direction"</f>
        <v>Targets/Controller/Hardware/SLSC/SLSC Chassis/Modules/Slot 6 (SLSC EDS)/Physical Channels/port0//line2/Properties/NI.Line.Direction</v>
      </c>
      <c r="I505" s="33" t="str">
        <f>"IO" &amp; A501</f>
        <v>IO99</v>
      </c>
      <c r="J505" s="104"/>
      <c r="K505" s="104"/>
      <c r="L505" s="107"/>
      <c r="M505" s="92"/>
      <c r="N505" s="95"/>
    </row>
    <row r="506" spans="1:14" x14ac:dyDescent="0.45">
      <c r="A506" s="98"/>
      <c r="B506" s="101"/>
      <c r="C506" s="70" t="str">
        <f>"PXIe-6375/AI" &amp; D506</f>
        <v>PXIe-6375/AI82</v>
      </c>
      <c r="D506" s="30">
        <f t="shared" si="181"/>
        <v>82</v>
      </c>
      <c r="E506" s="56" t="str">
        <f t="shared" si="182"/>
        <v>Scaled current 0-8 A</v>
      </c>
      <c r="F506" s="30" t="str">
        <f t="shared" si="182"/>
        <v>TBD</v>
      </c>
      <c r="G506" s="30" t="str">
        <f t="shared" si="180"/>
        <v>None</v>
      </c>
      <c r="H506" s="41" t="str">
        <f>Paths!$B$27 &amp; I506 &amp; Paths!$B$29</f>
        <v>Targets/Controller/Calculated Channels/ATE/IO99/AI</v>
      </c>
      <c r="I506" s="33" t="str">
        <f>"IO" &amp; A501</f>
        <v>IO99</v>
      </c>
      <c r="J506" s="104"/>
      <c r="K506" s="104"/>
      <c r="L506" s="107"/>
      <c r="M506" s="92"/>
      <c r="N506" s="95"/>
    </row>
    <row r="507" spans="1:14" ht="14.65" thickBot="1" x14ac:dyDescent="0.5">
      <c r="A507" s="99"/>
      <c r="B507" s="102"/>
      <c r="C507" s="71" t="str">
        <f>"SLSC-12251-1/Ch" &amp; D507 &amp; "_DUT"</f>
        <v>SLSC-12251-1/Ch2_DUT</v>
      </c>
      <c r="D507" s="31">
        <f t="shared" si="181"/>
        <v>2</v>
      </c>
      <c r="E507" s="31" t="str">
        <f t="shared" si="182"/>
        <v>FIU</v>
      </c>
      <c r="F507" s="31" t="str">
        <f t="shared" si="182"/>
        <v>TBD</v>
      </c>
      <c r="G507" s="31" t="str">
        <f t="shared" si="180"/>
        <v>None</v>
      </c>
      <c r="H507" s="42" t="str">
        <f>Paths!$B$13 &amp; D507</f>
        <v>Targets/Controller/Hardware/SLSC/SLSC Chassis/Modules/Slot 1 (SLSC EDS :: SLSC-12251)/Physical Channels/Channel_2</v>
      </c>
      <c r="I507" s="59" t="str">
        <f>"IO" &amp; A501</f>
        <v>IO99</v>
      </c>
      <c r="J507" s="105"/>
      <c r="K507" s="105"/>
      <c r="L507" s="108"/>
      <c r="M507" s="93"/>
      <c r="N507" s="96"/>
    </row>
    <row r="508" spans="1:14" ht="15" customHeight="1" x14ac:dyDescent="0.45">
      <c r="A508" s="97">
        <f>A501+1</f>
        <v>100</v>
      </c>
      <c r="B508" s="100" t="str">
        <f>B501</f>
        <v>HIGH LOAD
DI: 0-60 V
AI: 0-60 V
EXT LOAD</v>
      </c>
      <c r="C508" s="69" t="str">
        <f>"PXIe-7820R/DIO" &amp; D508</f>
        <v>PXIe-7820R/DIO67</v>
      </c>
      <c r="D508" s="29">
        <f t="shared" si="181"/>
        <v>67</v>
      </c>
      <c r="E508" s="55" t="str">
        <f t="shared" si="182"/>
        <v>FPGA DI (PWM Meas.)</v>
      </c>
      <c r="F508" s="55" t="str">
        <f t="shared" si="182"/>
        <v>PWM_FR</v>
      </c>
      <c r="G508" s="29" t="str">
        <f t="shared" si="180"/>
        <v>ATE/IO100/PWM_FR</v>
      </c>
      <c r="H508" s="39" t="str">
        <f>Paths!$B$4 &amp; I508 &amp; Paths!$B$9</f>
        <v>Targets/Controller/Custom Devices/FPGA Addon/Scalars/Scalar Inputs/PWM.In.IO100/FREQ</v>
      </c>
      <c r="I508" s="32" t="str">
        <f>"IO" &amp; A508</f>
        <v>IO100</v>
      </c>
      <c r="J508" s="103" t="s">
        <v>6</v>
      </c>
      <c r="K508" s="103" t="s">
        <v>7</v>
      </c>
      <c r="L508" s="106"/>
      <c r="M508" s="91"/>
      <c r="N508" s="94"/>
    </row>
    <row r="509" spans="1:14" x14ac:dyDescent="0.45">
      <c r="A509" s="98"/>
      <c r="B509" s="101"/>
      <c r="C509" s="70" t="str">
        <f>"PXIe-7820R/DIO" &amp; D509</f>
        <v>PXIe-7820R/DIO67</v>
      </c>
      <c r="D509" s="30">
        <f t="shared" si="181"/>
        <v>67</v>
      </c>
      <c r="E509" s="30" t="str">
        <f t="shared" si="182"/>
        <v>FPGA DI (PWM Meas.)</v>
      </c>
      <c r="F509" s="30" t="str">
        <f t="shared" si="182"/>
        <v>PWM_DC</v>
      </c>
      <c r="G509" s="30" t="str">
        <f t="shared" si="180"/>
        <v>ATE/IO100/PWM_DC</v>
      </c>
      <c r="H509" s="40" t="str">
        <f>Paths!$B$4 &amp; I509 &amp; Paths!$B$10</f>
        <v>Targets/Controller/Custom Devices/FPGA Addon/Scalars/Scalar Inputs/PWM.In.IO100/DC</v>
      </c>
      <c r="I509" s="33" t="str">
        <f>"IO" &amp; A508</f>
        <v>IO100</v>
      </c>
      <c r="J509" s="104"/>
      <c r="K509" s="104"/>
      <c r="L509" s="107"/>
      <c r="M509" s="92"/>
      <c r="N509" s="95"/>
    </row>
    <row r="510" spans="1:14" x14ac:dyDescent="0.45">
      <c r="A510" s="98"/>
      <c r="B510" s="101"/>
      <c r="C510" s="70" t="str">
        <f>"PXIe-7820R/DIO" &amp; D510</f>
        <v>PXIe-7820R/DIO67</v>
      </c>
      <c r="D510" s="30">
        <f t="shared" si="181"/>
        <v>67</v>
      </c>
      <c r="E510" s="30" t="str">
        <f t="shared" si="182"/>
        <v>PFGA DI (DI State)</v>
      </c>
      <c r="F510" s="30" t="str">
        <f t="shared" si="182"/>
        <v>DI</v>
      </c>
      <c r="G510" s="30" t="str">
        <f t="shared" si="180"/>
        <v>ATE/IO100/DI</v>
      </c>
      <c r="H510" s="90" t="str">
        <f>Paths!$B$3 &amp; I510 &amp; Paths!$B$8</f>
        <v>Targets/Controller/Custom Devices/FPGA Addon/Scalars/Scalar Inputs/DI.IO100/STATE</v>
      </c>
      <c r="I510" s="33" t="str">
        <f>I509</f>
        <v>IO100</v>
      </c>
      <c r="J510" s="104"/>
      <c r="K510" s="104"/>
      <c r="L510" s="107"/>
      <c r="M510" s="92"/>
      <c r="N510" s="95"/>
    </row>
    <row r="511" spans="1:14" x14ac:dyDescent="0.45">
      <c r="A511" s="98"/>
      <c r="B511" s="101"/>
      <c r="C511" s="70" t="str">
        <f>"PXIe-7820R/DIO" &amp; D511</f>
        <v>PXIe-7820R/DIO67</v>
      </c>
      <c r="D511" s="30">
        <f t="shared" si="181"/>
        <v>67</v>
      </c>
      <c r="E511" s="30" t="str">
        <f t="shared" si="182"/>
        <v>FPGA DI (PWM Meas.)</v>
      </c>
      <c r="F511" s="30" t="str">
        <f t="shared" si="182"/>
        <v>PWM_TIMEOUT</v>
      </c>
      <c r="G511" s="30" t="str">
        <f t="shared" ref="G511" si="185">IF(OR(F511="None",F511="TBD"),"None",_xlfn.CONCAT("ATE/",I511,"/",F511))</f>
        <v>ATE/IO100/PWM_TIMEOUT</v>
      </c>
      <c r="H511" s="40" t="str">
        <f>Paths!$B$5 &amp; I511 &amp; Paths!$B$11</f>
        <v>Targets/Controller/Custom Devices/FPGA Addon/Scalars/Scalar Outputs/PWM.Set.IO100/TIMEOUT</v>
      </c>
      <c r="I511" s="33" t="str">
        <f>"IO" &amp; A508</f>
        <v>IO100</v>
      </c>
      <c r="J511" s="104"/>
      <c r="K511" s="104"/>
      <c r="L511" s="107"/>
      <c r="M511" s="92"/>
      <c r="N511" s="95"/>
    </row>
    <row r="512" spans="1:14" x14ac:dyDescent="0.45">
      <c r="A512" s="98"/>
      <c r="B512" s="101"/>
      <c r="C512" s="70" t="str">
        <f>"SLSC-12202-1/P" &amp; ROUNDDOWN(D512/8,0) &amp; "." &amp; MOD(D512,8)</f>
        <v>SLSC-12202-1/P0.3</v>
      </c>
      <c r="D512" s="30">
        <f t="shared" si="181"/>
        <v>3</v>
      </c>
      <c r="E512" s="30" t="str">
        <f t="shared" si="182"/>
        <v>Input</v>
      </c>
      <c r="F512" s="30" t="str">
        <f t="shared" si="182"/>
        <v>None</v>
      </c>
      <c r="G512" s="30" t="str">
        <f t="shared" si="180"/>
        <v>None</v>
      </c>
      <c r="H512" s="36" t="str">
        <f>Paths!$B$17 &amp; "port" &amp; ROUNDDOWN(D512/8,0) &amp; "//line" &amp;MOD(D512,8) &amp;"/Properties/NI.Line.Direction"</f>
        <v>Targets/Controller/Hardware/SLSC/SLSC Chassis/Modules/Slot 6 (SLSC EDS)/Physical Channels/port0//line3/Properties/NI.Line.Direction</v>
      </c>
      <c r="I512" s="33" t="str">
        <f>"IO" &amp; A508</f>
        <v>IO100</v>
      </c>
      <c r="J512" s="104"/>
      <c r="K512" s="104"/>
      <c r="L512" s="107"/>
      <c r="M512" s="92"/>
      <c r="N512" s="95"/>
    </row>
    <row r="513" spans="1:14" x14ac:dyDescent="0.45">
      <c r="A513" s="98"/>
      <c r="B513" s="101"/>
      <c r="C513" s="70" t="str">
        <f>"PXIe-6375/AI" &amp; D513</f>
        <v>PXIe-6375/AI83</v>
      </c>
      <c r="D513" s="30">
        <f t="shared" si="181"/>
        <v>83</v>
      </c>
      <c r="E513" s="56" t="str">
        <f t="shared" si="182"/>
        <v>Scaled current 0-8 A</v>
      </c>
      <c r="F513" s="30" t="str">
        <f t="shared" si="182"/>
        <v>TBD</v>
      </c>
      <c r="G513" s="30" t="str">
        <f t="shared" si="180"/>
        <v>None</v>
      </c>
      <c r="H513" s="41" t="str">
        <f>Paths!$B$27 &amp; I513 &amp; Paths!$B$29</f>
        <v>Targets/Controller/Calculated Channels/ATE/IO100/AI</v>
      </c>
      <c r="I513" s="33" t="str">
        <f>"IO" &amp; A508</f>
        <v>IO100</v>
      </c>
      <c r="J513" s="104"/>
      <c r="K513" s="104"/>
      <c r="L513" s="107"/>
      <c r="M513" s="92"/>
      <c r="N513" s="95"/>
    </row>
    <row r="514" spans="1:14" ht="14.65" thickBot="1" x14ac:dyDescent="0.5">
      <c r="A514" s="99"/>
      <c r="B514" s="102"/>
      <c r="C514" s="71" t="str">
        <f>"SLSC-12251-1/Ch" &amp; D514 &amp; "_DUT"</f>
        <v>SLSC-12251-1/Ch3_DUT</v>
      </c>
      <c r="D514" s="31">
        <f t="shared" si="181"/>
        <v>3</v>
      </c>
      <c r="E514" s="31" t="str">
        <f t="shared" ref="E514:F533" si="186">E507</f>
        <v>FIU</v>
      </c>
      <c r="F514" s="31" t="str">
        <f t="shared" si="186"/>
        <v>TBD</v>
      </c>
      <c r="G514" s="31" t="str">
        <f t="shared" si="180"/>
        <v>None</v>
      </c>
      <c r="H514" s="42" t="str">
        <f>Paths!$B$13 &amp; D514</f>
        <v>Targets/Controller/Hardware/SLSC/SLSC Chassis/Modules/Slot 1 (SLSC EDS :: SLSC-12251)/Physical Channels/Channel_3</v>
      </c>
      <c r="I514" s="59" t="str">
        <f>"IO" &amp; A508</f>
        <v>IO100</v>
      </c>
      <c r="J514" s="105"/>
      <c r="K514" s="105"/>
      <c r="L514" s="108"/>
      <c r="M514" s="93"/>
      <c r="N514" s="96"/>
    </row>
    <row r="515" spans="1:14" ht="15" customHeight="1" x14ac:dyDescent="0.45">
      <c r="A515" s="97">
        <f>A508+1</f>
        <v>101</v>
      </c>
      <c r="B515" s="100" t="str">
        <f>B508</f>
        <v>HIGH LOAD
DI: 0-60 V
AI: 0-60 V
EXT LOAD</v>
      </c>
      <c r="C515" s="69" t="str">
        <f>"PXIe-7820R/DIO" &amp; D515</f>
        <v>PXIe-7820R/DIO68</v>
      </c>
      <c r="D515" s="29">
        <f t="shared" si="181"/>
        <v>68</v>
      </c>
      <c r="E515" s="55" t="str">
        <f t="shared" si="186"/>
        <v>FPGA DI (PWM Meas.)</v>
      </c>
      <c r="F515" s="55" t="str">
        <f t="shared" si="186"/>
        <v>PWM_FR</v>
      </c>
      <c r="G515" s="29" t="str">
        <f t="shared" si="180"/>
        <v>ATE/IO101/PWM_FR</v>
      </c>
      <c r="H515" s="39" t="str">
        <f>Paths!$B$4 &amp; I515 &amp; Paths!$B$9</f>
        <v>Targets/Controller/Custom Devices/FPGA Addon/Scalars/Scalar Inputs/PWM.In.IO101/FREQ</v>
      </c>
      <c r="I515" s="32" t="str">
        <f>"IO" &amp; A515</f>
        <v>IO101</v>
      </c>
      <c r="J515" s="103" t="s">
        <v>6</v>
      </c>
      <c r="K515" s="103" t="s">
        <v>7</v>
      </c>
      <c r="L515" s="106"/>
      <c r="M515" s="91"/>
      <c r="N515" s="94"/>
    </row>
    <row r="516" spans="1:14" x14ac:dyDescent="0.45">
      <c r="A516" s="98"/>
      <c r="B516" s="101"/>
      <c r="C516" s="70" t="str">
        <f>"PXIe-7820R/DIO" &amp; D516</f>
        <v>PXIe-7820R/DIO68</v>
      </c>
      <c r="D516" s="30">
        <f t="shared" si="181"/>
        <v>68</v>
      </c>
      <c r="E516" s="30" t="str">
        <f t="shared" si="186"/>
        <v>FPGA DI (PWM Meas.)</v>
      </c>
      <c r="F516" s="30" t="str">
        <f t="shared" si="186"/>
        <v>PWM_DC</v>
      </c>
      <c r="G516" s="30" t="str">
        <f t="shared" si="180"/>
        <v>ATE/IO101/PWM_DC</v>
      </c>
      <c r="H516" s="40" t="str">
        <f>Paths!$B$4 &amp; I516 &amp; Paths!$B$10</f>
        <v>Targets/Controller/Custom Devices/FPGA Addon/Scalars/Scalar Inputs/PWM.In.IO101/DC</v>
      </c>
      <c r="I516" s="33" t="str">
        <f>"IO" &amp; A515</f>
        <v>IO101</v>
      </c>
      <c r="J516" s="104"/>
      <c r="K516" s="104"/>
      <c r="L516" s="107"/>
      <c r="M516" s="92"/>
      <c r="N516" s="95"/>
    </row>
    <row r="517" spans="1:14" x14ac:dyDescent="0.45">
      <c r="A517" s="98"/>
      <c r="B517" s="101"/>
      <c r="C517" s="70" t="str">
        <f>"PXIe-7820R/DIO" &amp; D517</f>
        <v>PXIe-7820R/DIO68</v>
      </c>
      <c r="D517" s="30">
        <f t="shared" si="181"/>
        <v>68</v>
      </c>
      <c r="E517" s="30" t="str">
        <f t="shared" si="186"/>
        <v>PFGA DI (DI State)</v>
      </c>
      <c r="F517" s="30" t="str">
        <f t="shared" si="186"/>
        <v>DI</v>
      </c>
      <c r="G517" s="30" t="str">
        <f t="shared" si="180"/>
        <v>ATE/IO101/DI</v>
      </c>
      <c r="H517" s="90" t="str">
        <f>Paths!$B$3 &amp; I517 &amp; Paths!$B$8</f>
        <v>Targets/Controller/Custom Devices/FPGA Addon/Scalars/Scalar Inputs/DI.IO101/STATE</v>
      </c>
      <c r="I517" s="33" t="str">
        <f>I516</f>
        <v>IO101</v>
      </c>
      <c r="J517" s="104"/>
      <c r="K517" s="104"/>
      <c r="L517" s="107"/>
      <c r="M517" s="92"/>
      <c r="N517" s="95"/>
    </row>
    <row r="518" spans="1:14" x14ac:dyDescent="0.45">
      <c r="A518" s="98"/>
      <c r="B518" s="101"/>
      <c r="C518" s="70" t="str">
        <f>"PXIe-7820R/DIO" &amp; D518</f>
        <v>PXIe-7820R/DIO68</v>
      </c>
      <c r="D518" s="30">
        <f t="shared" si="181"/>
        <v>68</v>
      </c>
      <c r="E518" s="30" t="str">
        <f t="shared" si="186"/>
        <v>FPGA DI (PWM Meas.)</v>
      </c>
      <c r="F518" s="30" t="str">
        <f t="shared" si="186"/>
        <v>PWM_TIMEOUT</v>
      </c>
      <c r="G518" s="30" t="str">
        <f t="shared" ref="G518" si="187">IF(OR(F518="None",F518="TBD"),"None",_xlfn.CONCAT("ATE/",I518,"/",F518))</f>
        <v>ATE/IO101/PWM_TIMEOUT</v>
      </c>
      <c r="H518" s="40" t="str">
        <f>Paths!$B$5 &amp; I518 &amp; Paths!$B$11</f>
        <v>Targets/Controller/Custom Devices/FPGA Addon/Scalars/Scalar Outputs/PWM.Set.IO101/TIMEOUT</v>
      </c>
      <c r="I518" s="33" t="str">
        <f>"IO" &amp; A515</f>
        <v>IO101</v>
      </c>
      <c r="J518" s="104"/>
      <c r="K518" s="104"/>
      <c r="L518" s="107"/>
      <c r="M518" s="92"/>
      <c r="N518" s="95"/>
    </row>
    <row r="519" spans="1:14" x14ac:dyDescent="0.45">
      <c r="A519" s="98"/>
      <c r="B519" s="101"/>
      <c r="C519" s="70" t="str">
        <f>"SLSC-12202-1/P" &amp; ROUNDDOWN(D519/8,0) &amp; "." &amp; MOD(D519,8)</f>
        <v>SLSC-12202-1/P0.4</v>
      </c>
      <c r="D519" s="30">
        <f t="shared" si="181"/>
        <v>4</v>
      </c>
      <c r="E519" s="30" t="str">
        <f t="shared" si="186"/>
        <v>Input</v>
      </c>
      <c r="F519" s="30" t="str">
        <f t="shared" si="186"/>
        <v>None</v>
      </c>
      <c r="G519" s="30" t="str">
        <f t="shared" si="180"/>
        <v>None</v>
      </c>
      <c r="H519" s="36" t="str">
        <f>Paths!$B$17 &amp; "port" &amp; ROUNDDOWN(D519/8,0) &amp; "//line" &amp;MOD(D519,8) &amp;"/Properties/NI.Line.Direction"</f>
        <v>Targets/Controller/Hardware/SLSC/SLSC Chassis/Modules/Slot 6 (SLSC EDS)/Physical Channels/port0//line4/Properties/NI.Line.Direction</v>
      </c>
      <c r="I519" s="33" t="str">
        <f>"IO" &amp; A515</f>
        <v>IO101</v>
      </c>
      <c r="J519" s="104"/>
      <c r="K519" s="104"/>
      <c r="L519" s="107"/>
      <c r="M519" s="92"/>
      <c r="N519" s="95"/>
    </row>
    <row r="520" spans="1:14" x14ac:dyDescent="0.45">
      <c r="A520" s="98"/>
      <c r="B520" s="101"/>
      <c r="C520" s="70" t="str">
        <f>"PXIe-6375/AI" &amp; D520</f>
        <v>PXIe-6375/AI84</v>
      </c>
      <c r="D520" s="30">
        <f t="shared" si="181"/>
        <v>84</v>
      </c>
      <c r="E520" s="56" t="str">
        <f t="shared" si="186"/>
        <v>Scaled current 0-8 A</v>
      </c>
      <c r="F520" s="30" t="str">
        <f t="shared" si="186"/>
        <v>TBD</v>
      </c>
      <c r="G520" s="30" t="str">
        <f t="shared" si="180"/>
        <v>None</v>
      </c>
      <c r="H520" s="41" t="str">
        <f>Paths!$B$27 &amp; I520 &amp; Paths!$B$29</f>
        <v>Targets/Controller/Calculated Channels/ATE/IO101/AI</v>
      </c>
      <c r="I520" s="33" t="str">
        <f>"IO" &amp; A515</f>
        <v>IO101</v>
      </c>
      <c r="J520" s="104"/>
      <c r="K520" s="104"/>
      <c r="L520" s="107"/>
      <c r="M520" s="92"/>
      <c r="N520" s="95"/>
    </row>
    <row r="521" spans="1:14" ht="14.65" thickBot="1" x14ac:dyDescent="0.5">
      <c r="A521" s="99"/>
      <c r="B521" s="102"/>
      <c r="C521" s="71" t="str">
        <f>"SLSC-12251-1/Ch" &amp; D521 &amp; "_DUT"</f>
        <v>SLSC-12251-1/Ch4_DUT</v>
      </c>
      <c r="D521" s="31">
        <f t="shared" si="181"/>
        <v>4</v>
      </c>
      <c r="E521" s="31" t="str">
        <f t="shared" si="186"/>
        <v>FIU</v>
      </c>
      <c r="F521" s="31" t="str">
        <f t="shared" si="186"/>
        <v>TBD</v>
      </c>
      <c r="G521" s="31" t="str">
        <f t="shared" si="180"/>
        <v>None</v>
      </c>
      <c r="H521" s="42" t="str">
        <f>Paths!$B$13 &amp; D521</f>
        <v>Targets/Controller/Hardware/SLSC/SLSC Chassis/Modules/Slot 1 (SLSC EDS :: SLSC-12251)/Physical Channels/Channel_4</v>
      </c>
      <c r="I521" s="59" t="str">
        <f>"IO" &amp; A515</f>
        <v>IO101</v>
      </c>
      <c r="J521" s="105"/>
      <c r="K521" s="105"/>
      <c r="L521" s="108"/>
      <c r="M521" s="93"/>
      <c r="N521" s="96"/>
    </row>
    <row r="522" spans="1:14" ht="15" customHeight="1" x14ac:dyDescent="0.45">
      <c r="A522" s="97">
        <f>A515+1</f>
        <v>102</v>
      </c>
      <c r="B522" s="100" t="str">
        <f>B515</f>
        <v>HIGH LOAD
DI: 0-60 V
AI: 0-60 V
EXT LOAD</v>
      </c>
      <c r="C522" s="69" t="str">
        <f>"PXIe-7820R/DIO" &amp; D522</f>
        <v>PXIe-7820R/DIO69</v>
      </c>
      <c r="D522" s="29">
        <f t="shared" si="181"/>
        <v>69</v>
      </c>
      <c r="E522" s="55" t="str">
        <f t="shared" si="186"/>
        <v>FPGA DI (PWM Meas.)</v>
      </c>
      <c r="F522" s="55" t="str">
        <f t="shared" si="186"/>
        <v>PWM_FR</v>
      </c>
      <c r="G522" s="29" t="str">
        <f t="shared" si="180"/>
        <v>ATE/IO102/PWM_FR</v>
      </c>
      <c r="H522" s="39" t="str">
        <f>Paths!$B$4 &amp; I522 &amp; Paths!$B$9</f>
        <v>Targets/Controller/Custom Devices/FPGA Addon/Scalars/Scalar Inputs/PWM.In.IO102/FREQ</v>
      </c>
      <c r="I522" s="32" t="str">
        <f>"IO" &amp; A522</f>
        <v>IO102</v>
      </c>
      <c r="J522" s="103" t="s">
        <v>6</v>
      </c>
      <c r="K522" s="103" t="s">
        <v>7</v>
      </c>
      <c r="L522" s="106"/>
      <c r="M522" s="91"/>
      <c r="N522" s="94"/>
    </row>
    <row r="523" spans="1:14" x14ac:dyDescent="0.45">
      <c r="A523" s="98"/>
      <c r="B523" s="101"/>
      <c r="C523" s="70" t="str">
        <f>"PXIe-7820R/DIO" &amp; D523</f>
        <v>PXIe-7820R/DIO69</v>
      </c>
      <c r="D523" s="30">
        <f t="shared" si="181"/>
        <v>69</v>
      </c>
      <c r="E523" s="30" t="str">
        <f t="shared" si="186"/>
        <v>FPGA DI (PWM Meas.)</v>
      </c>
      <c r="F523" s="30" t="str">
        <f t="shared" si="186"/>
        <v>PWM_DC</v>
      </c>
      <c r="G523" s="30" t="str">
        <f t="shared" si="180"/>
        <v>ATE/IO102/PWM_DC</v>
      </c>
      <c r="H523" s="40" t="str">
        <f>Paths!$B$4 &amp; I523 &amp; Paths!$B$10</f>
        <v>Targets/Controller/Custom Devices/FPGA Addon/Scalars/Scalar Inputs/PWM.In.IO102/DC</v>
      </c>
      <c r="I523" s="33" t="str">
        <f>"IO" &amp; A522</f>
        <v>IO102</v>
      </c>
      <c r="J523" s="104"/>
      <c r="K523" s="104"/>
      <c r="L523" s="107"/>
      <c r="M523" s="92"/>
      <c r="N523" s="95"/>
    </row>
    <row r="524" spans="1:14" x14ac:dyDescent="0.45">
      <c r="A524" s="98"/>
      <c r="B524" s="101"/>
      <c r="C524" s="70" t="str">
        <f>"PXIe-7820R/DIO" &amp; D524</f>
        <v>PXIe-7820R/DIO69</v>
      </c>
      <c r="D524" s="30">
        <f t="shared" si="181"/>
        <v>69</v>
      </c>
      <c r="E524" s="30" t="str">
        <f t="shared" si="186"/>
        <v>PFGA DI (DI State)</v>
      </c>
      <c r="F524" s="30" t="str">
        <f t="shared" si="186"/>
        <v>DI</v>
      </c>
      <c r="G524" s="30" t="str">
        <f t="shared" si="180"/>
        <v>ATE/IO102/DI</v>
      </c>
      <c r="H524" s="90" t="str">
        <f>Paths!$B$3 &amp; I524 &amp; Paths!$B$8</f>
        <v>Targets/Controller/Custom Devices/FPGA Addon/Scalars/Scalar Inputs/DI.IO102/STATE</v>
      </c>
      <c r="I524" s="33" t="str">
        <f>I523</f>
        <v>IO102</v>
      </c>
      <c r="J524" s="104"/>
      <c r="K524" s="104"/>
      <c r="L524" s="107"/>
      <c r="M524" s="92"/>
      <c r="N524" s="95"/>
    </row>
    <row r="525" spans="1:14" x14ac:dyDescent="0.45">
      <c r="A525" s="98"/>
      <c r="B525" s="101"/>
      <c r="C525" s="70" t="str">
        <f>"PXIe-7820R/DIO" &amp; D525</f>
        <v>PXIe-7820R/DIO69</v>
      </c>
      <c r="D525" s="30">
        <f t="shared" si="181"/>
        <v>69</v>
      </c>
      <c r="E525" s="30" t="str">
        <f t="shared" si="186"/>
        <v>FPGA DI (PWM Meas.)</v>
      </c>
      <c r="F525" s="30" t="str">
        <f t="shared" si="186"/>
        <v>PWM_TIMEOUT</v>
      </c>
      <c r="G525" s="30" t="str">
        <f t="shared" ref="G525" si="188">IF(OR(F525="None",F525="TBD"),"None",_xlfn.CONCAT("ATE/",I525,"/",F525))</f>
        <v>ATE/IO102/PWM_TIMEOUT</v>
      </c>
      <c r="H525" s="40" t="str">
        <f>Paths!$B$5 &amp; I525 &amp; Paths!$B$11</f>
        <v>Targets/Controller/Custom Devices/FPGA Addon/Scalars/Scalar Outputs/PWM.Set.IO102/TIMEOUT</v>
      </c>
      <c r="I525" s="33" t="str">
        <f>"IO" &amp; A522</f>
        <v>IO102</v>
      </c>
      <c r="J525" s="104"/>
      <c r="K525" s="104"/>
      <c r="L525" s="107"/>
      <c r="M525" s="92"/>
      <c r="N525" s="95"/>
    </row>
    <row r="526" spans="1:14" x14ac:dyDescent="0.45">
      <c r="A526" s="98"/>
      <c r="B526" s="101"/>
      <c r="C526" s="70" t="str">
        <f>"SLSC-12202-1/P" &amp; ROUNDDOWN(D526/8,0) &amp; "." &amp; MOD(D526,8)</f>
        <v>SLSC-12202-1/P0.5</v>
      </c>
      <c r="D526" s="30">
        <f t="shared" ref="D526:D546" si="189">D519+1</f>
        <v>5</v>
      </c>
      <c r="E526" s="30" t="str">
        <f t="shared" si="186"/>
        <v>Input</v>
      </c>
      <c r="F526" s="30" t="str">
        <f t="shared" si="186"/>
        <v>None</v>
      </c>
      <c r="G526" s="30" t="str">
        <f t="shared" si="180"/>
        <v>None</v>
      </c>
      <c r="H526" s="36" t="str">
        <f>Paths!$B$17 &amp; "port" &amp; ROUNDDOWN(D526/8,0) &amp; "//line" &amp;MOD(D526,8) &amp;"/Properties/NI.Line.Direction"</f>
        <v>Targets/Controller/Hardware/SLSC/SLSC Chassis/Modules/Slot 6 (SLSC EDS)/Physical Channels/port0//line5/Properties/NI.Line.Direction</v>
      </c>
      <c r="I526" s="33" t="str">
        <f>"IO" &amp; A522</f>
        <v>IO102</v>
      </c>
      <c r="J526" s="104"/>
      <c r="K526" s="104"/>
      <c r="L526" s="107"/>
      <c r="M526" s="92"/>
      <c r="N526" s="95"/>
    </row>
    <row r="527" spans="1:14" x14ac:dyDescent="0.45">
      <c r="A527" s="98"/>
      <c r="B527" s="101"/>
      <c r="C527" s="70" t="str">
        <f>"PXIe-6375/AI" &amp; D527</f>
        <v>PXIe-6375/AI85</v>
      </c>
      <c r="D527" s="30">
        <f t="shared" si="189"/>
        <v>85</v>
      </c>
      <c r="E527" s="56" t="str">
        <f t="shared" si="186"/>
        <v>Scaled current 0-8 A</v>
      </c>
      <c r="F527" s="30" t="str">
        <f t="shared" si="186"/>
        <v>TBD</v>
      </c>
      <c r="G527" s="30" t="str">
        <f t="shared" si="180"/>
        <v>None</v>
      </c>
      <c r="H527" s="41" t="str">
        <f>Paths!$B$27 &amp; I527 &amp; Paths!$B$29</f>
        <v>Targets/Controller/Calculated Channels/ATE/IO102/AI</v>
      </c>
      <c r="I527" s="33" t="str">
        <f>"IO" &amp; A522</f>
        <v>IO102</v>
      </c>
      <c r="J527" s="104"/>
      <c r="K527" s="104"/>
      <c r="L527" s="107"/>
      <c r="M527" s="92"/>
      <c r="N527" s="95"/>
    </row>
    <row r="528" spans="1:14" ht="14.65" thickBot="1" x14ac:dyDescent="0.5">
      <c r="A528" s="99"/>
      <c r="B528" s="102"/>
      <c r="C528" s="71" t="str">
        <f>"SLSC-12251-1/Ch" &amp; D528 &amp; "_DUT"</f>
        <v>SLSC-12251-1/Ch5_DUT</v>
      </c>
      <c r="D528" s="31">
        <f t="shared" si="189"/>
        <v>5</v>
      </c>
      <c r="E528" s="31" t="str">
        <f t="shared" si="186"/>
        <v>FIU</v>
      </c>
      <c r="F528" s="31" t="str">
        <f t="shared" si="186"/>
        <v>TBD</v>
      </c>
      <c r="G528" s="31" t="str">
        <f t="shared" si="180"/>
        <v>None</v>
      </c>
      <c r="H528" s="42" t="str">
        <f>Paths!$B$13 &amp; D528</f>
        <v>Targets/Controller/Hardware/SLSC/SLSC Chassis/Modules/Slot 1 (SLSC EDS :: SLSC-12251)/Physical Channels/Channel_5</v>
      </c>
      <c r="I528" s="59" t="str">
        <f>"IO" &amp; A522</f>
        <v>IO102</v>
      </c>
      <c r="J528" s="105"/>
      <c r="K528" s="105"/>
      <c r="L528" s="108"/>
      <c r="M528" s="93"/>
      <c r="N528" s="96"/>
    </row>
    <row r="529" spans="1:14" ht="15" customHeight="1" x14ac:dyDescent="0.45">
      <c r="A529" s="97">
        <f>A522+1</f>
        <v>103</v>
      </c>
      <c r="B529" s="100" t="str">
        <f>B522</f>
        <v>HIGH LOAD
DI: 0-60 V
AI: 0-60 V
EXT LOAD</v>
      </c>
      <c r="C529" s="69" t="str">
        <f>"PXIe-7820R/DIO" &amp; D529</f>
        <v>PXIe-7820R/DIO70</v>
      </c>
      <c r="D529" s="29">
        <f t="shared" si="189"/>
        <v>70</v>
      </c>
      <c r="E529" s="55" t="str">
        <f t="shared" si="186"/>
        <v>FPGA DI (PWM Meas.)</v>
      </c>
      <c r="F529" s="55" t="str">
        <f t="shared" si="186"/>
        <v>PWM_FR</v>
      </c>
      <c r="G529" s="29" t="str">
        <f t="shared" si="180"/>
        <v>ATE/IO103/PWM_FR</v>
      </c>
      <c r="H529" s="39" t="str">
        <f>Paths!$B$4 &amp; I529 &amp; Paths!$B$9</f>
        <v>Targets/Controller/Custom Devices/FPGA Addon/Scalars/Scalar Inputs/PWM.In.IO103/FREQ</v>
      </c>
      <c r="I529" s="32" t="str">
        <f>"IO" &amp; A529</f>
        <v>IO103</v>
      </c>
      <c r="J529" s="103" t="s">
        <v>6</v>
      </c>
      <c r="K529" s="103" t="s">
        <v>7</v>
      </c>
      <c r="L529" s="106"/>
      <c r="M529" s="91"/>
      <c r="N529" s="94"/>
    </row>
    <row r="530" spans="1:14" x14ac:dyDescent="0.45">
      <c r="A530" s="98"/>
      <c r="B530" s="101"/>
      <c r="C530" s="70" t="str">
        <f>"PXIe-7820R/DIO" &amp; D530</f>
        <v>PXIe-7820R/DIO70</v>
      </c>
      <c r="D530" s="30">
        <f t="shared" si="189"/>
        <v>70</v>
      </c>
      <c r="E530" s="30" t="str">
        <f t="shared" si="186"/>
        <v>FPGA DI (PWM Meas.)</v>
      </c>
      <c r="F530" s="30" t="str">
        <f t="shared" si="186"/>
        <v>PWM_DC</v>
      </c>
      <c r="G530" s="30" t="str">
        <f t="shared" si="180"/>
        <v>ATE/IO103/PWM_DC</v>
      </c>
      <c r="H530" s="40" t="str">
        <f>Paths!$B$4 &amp; I530 &amp; Paths!$B$10</f>
        <v>Targets/Controller/Custom Devices/FPGA Addon/Scalars/Scalar Inputs/PWM.In.IO103/DC</v>
      </c>
      <c r="I530" s="33" t="str">
        <f>"IO" &amp; A529</f>
        <v>IO103</v>
      </c>
      <c r="J530" s="104"/>
      <c r="K530" s="104"/>
      <c r="L530" s="107"/>
      <c r="M530" s="92"/>
      <c r="N530" s="95"/>
    </row>
    <row r="531" spans="1:14" x14ac:dyDescent="0.45">
      <c r="A531" s="98"/>
      <c r="B531" s="101"/>
      <c r="C531" s="70" t="str">
        <f>"PXIe-7820R/DIO" &amp; D531</f>
        <v>PXIe-7820R/DIO70</v>
      </c>
      <c r="D531" s="30">
        <f t="shared" si="189"/>
        <v>70</v>
      </c>
      <c r="E531" s="30" t="str">
        <f t="shared" si="186"/>
        <v>PFGA DI (DI State)</v>
      </c>
      <c r="F531" s="30" t="str">
        <f t="shared" si="186"/>
        <v>DI</v>
      </c>
      <c r="G531" s="30" t="str">
        <f t="shared" si="180"/>
        <v>ATE/IO103/DI</v>
      </c>
      <c r="H531" s="90" t="str">
        <f>Paths!$B$3 &amp; I531 &amp; Paths!$B$8</f>
        <v>Targets/Controller/Custom Devices/FPGA Addon/Scalars/Scalar Inputs/DI.IO103/STATE</v>
      </c>
      <c r="I531" s="33" t="str">
        <f>I530</f>
        <v>IO103</v>
      </c>
      <c r="J531" s="104"/>
      <c r="K531" s="104"/>
      <c r="L531" s="107"/>
      <c r="M531" s="92"/>
      <c r="N531" s="95"/>
    </row>
    <row r="532" spans="1:14" x14ac:dyDescent="0.45">
      <c r="A532" s="98"/>
      <c r="B532" s="101"/>
      <c r="C532" s="70" t="str">
        <f>"PXIe-7820R/DIO" &amp; D532</f>
        <v>PXIe-7820R/DIO70</v>
      </c>
      <c r="D532" s="30">
        <f t="shared" si="189"/>
        <v>70</v>
      </c>
      <c r="E532" s="30" t="str">
        <f t="shared" si="186"/>
        <v>FPGA DI (PWM Meas.)</v>
      </c>
      <c r="F532" s="30" t="str">
        <f t="shared" si="186"/>
        <v>PWM_TIMEOUT</v>
      </c>
      <c r="G532" s="30" t="str">
        <f t="shared" ref="G532" si="190">IF(OR(F532="None",F532="TBD"),"None",_xlfn.CONCAT("ATE/",I532,"/",F532))</f>
        <v>ATE/IO103/PWM_TIMEOUT</v>
      </c>
      <c r="H532" s="40" t="str">
        <f>Paths!$B$5 &amp; I532 &amp; Paths!$B$11</f>
        <v>Targets/Controller/Custom Devices/FPGA Addon/Scalars/Scalar Outputs/PWM.Set.IO103/TIMEOUT</v>
      </c>
      <c r="I532" s="33" t="str">
        <f>"IO" &amp; A529</f>
        <v>IO103</v>
      </c>
      <c r="J532" s="104"/>
      <c r="K532" s="104"/>
      <c r="L532" s="107"/>
      <c r="M532" s="92"/>
      <c r="N532" s="95"/>
    </row>
    <row r="533" spans="1:14" x14ac:dyDescent="0.45">
      <c r="A533" s="98"/>
      <c r="B533" s="101"/>
      <c r="C533" s="70" t="str">
        <f>"SLSC-12202-1/P" &amp; ROUNDDOWN(D533/8,0) &amp; "." &amp; MOD(D533,8)</f>
        <v>SLSC-12202-1/P0.6</v>
      </c>
      <c r="D533" s="30">
        <f t="shared" si="189"/>
        <v>6</v>
      </c>
      <c r="E533" s="30" t="str">
        <f t="shared" si="186"/>
        <v>Input</v>
      </c>
      <c r="F533" s="30" t="str">
        <f t="shared" si="186"/>
        <v>None</v>
      </c>
      <c r="G533" s="30" t="str">
        <f t="shared" si="180"/>
        <v>None</v>
      </c>
      <c r="H533" s="36" t="str">
        <f>Paths!$B$17 &amp; "port" &amp; ROUNDDOWN(D533/8,0) &amp; "//line" &amp;MOD(D533,8) &amp;"/Properties/NI.Line.Direction"</f>
        <v>Targets/Controller/Hardware/SLSC/SLSC Chassis/Modules/Slot 6 (SLSC EDS)/Physical Channels/port0//line6/Properties/NI.Line.Direction</v>
      </c>
      <c r="I533" s="33" t="str">
        <f>"IO" &amp; A529</f>
        <v>IO103</v>
      </c>
      <c r="J533" s="104"/>
      <c r="K533" s="104"/>
      <c r="L533" s="107"/>
      <c r="M533" s="92"/>
      <c r="N533" s="95"/>
    </row>
    <row r="534" spans="1:14" x14ac:dyDescent="0.45">
      <c r="A534" s="98"/>
      <c r="B534" s="101"/>
      <c r="C534" s="70" t="str">
        <f>"PXIe-6375/AI" &amp; D534</f>
        <v>PXIe-6375/AI86</v>
      </c>
      <c r="D534" s="30">
        <f t="shared" si="189"/>
        <v>86</v>
      </c>
      <c r="E534" s="56" t="str">
        <f t="shared" ref="E534:F553" si="191">E527</f>
        <v>Scaled current 0-8 A</v>
      </c>
      <c r="F534" s="30" t="str">
        <f t="shared" si="191"/>
        <v>TBD</v>
      </c>
      <c r="G534" s="30" t="str">
        <f t="shared" si="180"/>
        <v>None</v>
      </c>
      <c r="H534" s="41" t="str">
        <f>Paths!$B$27 &amp; I534 &amp; Paths!$B$29</f>
        <v>Targets/Controller/Calculated Channels/ATE/IO103/AI</v>
      </c>
      <c r="I534" s="33" t="str">
        <f>"IO" &amp; A529</f>
        <v>IO103</v>
      </c>
      <c r="J534" s="104"/>
      <c r="K534" s="104"/>
      <c r="L534" s="107"/>
      <c r="M534" s="92"/>
      <c r="N534" s="95"/>
    </row>
    <row r="535" spans="1:14" ht="14.65" thickBot="1" x14ac:dyDescent="0.5">
      <c r="A535" s="99"/>
      <c r="B535" s="102"/>
      <c r="C535" s="71" t="str">
        <f>"SLSC-12251-1/Ch" &amp; D535 &amp; "_DUT"</f>
        <v>SLSC-12251-1/Ch6_DUT</v>
      </c>
      <c r="D535" s="31">
        <f t="shared" si="189"/>
        <v>6</v>
      </c>
      <c r="E535" s="31" t="str">
        <f t="shared" si="191"/>
        <v>FIU</v>
      </c>
      <c r="F535" s="31" t="str">
        <f t="shared" si="191"/>
        <v>TBD</v>
      </c>
      <c r="G535" s="31" t="str">
        <f t="shared" si="180"/>
        <v>None</v>
      </c>
      <c r="H535" s="42" t="str">
        <f>Paths!$B$13 &amp; D535</f>
        <v>Targets/Controller/Hardware/SLSC/SLSC Chassis/Modules/Slot 1 (SLSC EDS :: SLSC-12251)/Physical Channels/Channel_6</v>
      </c>
      <c r="I535" s="59" t="str">
        <f>"IO" &amp; A529</f>
        <v>IO103</v>
      </c>
      <c r="J535" s="105"/>
      <c r="K535" s="105"/>
      <c r="L535" s="108"/>
      <c r="M535" s="93"/>
      <c r="N535" s="96"/>
    </row>
    <row r="536" spans="1:14" ht="15" customHeight="1" x14ac:dyDescent="0.45">
      <c r="A536" s="97">
        <f>A529+1</f>
        <v>104</v>
      </c>
      <c r="B536" s="100" t="str">
        <f>B529</f>
        <v>HIGH LOAD
DI: 0-60 V
AI: 0-60 V
EXT LOAD</v>
      </c>
      <c r="C536" s="69" t="str">
        <f>"PXIe-7820R/DIO" &amp; D536</f>
        <v>PXIe-7820R/DIO71</v>
      </c>
      <c r="D536" s="29">
        <f t="shared" si="189"/>
        <v>71</v>
      </c>
      <c r="E536" s="55" t="str">
        <f t="shared" si="191"/>
        <v>FPGA DI (PWM Meas.)</v>
      </c>
      <c r="F536" s="55" t="str">
        <f t="shared" si="191"/>
        <v>PWM_FR</v>
      </c>
      <c r="G536" s="29" t="str">
        <f t="shared" si="180"/>
        <v>ATE/IO104/PWM_FR</v>
      </c>
      <c r="H536" s="39" t="str">
        <f>Paths!$B$4 &amp; I536 &amp; Paths!$B$9</f>
        <v>Targets/Controller/Custom Devices/FPGA Addon/Scalars/Scalar Inputs/PWM.In.IO104/FREQ</v>
      </c>
      <c r="I536" s="32" t="str">
        <f>"IO" &amp; A536</f>
        <v>IO104</v>
      </c>
      <c r="J536" s="103" t="s">
        <v>6</v>
      </c>
      <c r="K536" s="103" t="s">
        <v>7</v>
      </c>
      <c r="L536" s="106"/>
      <c r="M536" s="91"/>
      <c r="N536" s="94"/>
    </row>
    <row r="537" spans="1:14" x14ac:dyDescent="0.45">
      <c r="A537" s="98"/>
      <c r="B537" s="101"/>
      <c r="C537" s="70" t="str">
        <f>"PXIe-7820R/DIO" &amp; D537</f>
        <v>PXIe-7820R/DIO71</v>
      </c>
      <c r="D537" s="30">
        <f t="shared" si="189"/>
        <v>71</v>
      </c>
      <c r="E537" s="30" t="str">
        <f t="shared" si="191"/>
        <v>FPGA DI (PWM Meas.)</v>
      </c>
      <c r="F537" s="30" t="str">
        <f t="shared" si="191"/>
        <v>PWM_DC</v>
      </c>
      <c r="G537" s="30" t="str">
        <f t="shared" si="180"/>
        <v>ATE/IO104/PWM_DC</v>
      </c>
      <c r="H537" s="40" t="str">
        <f>Paths!$B$4 &amp; I537 &amp; Paths!$B$10</f>
        <v>Targets/Controller/Custom Devices/FPGA Addon/Scalars/Scalar Inputs/PWM.In.IO104/DC</v>
      </c>
      <c r="I537" s="33" t="str">
        <f>"IO" &amp; A536</f>
        <v>IO104</v>
      </c>
      <c r="J537" s="104"/>
      <c r="K537" s="104"/>
      <c r="L537" s="107"/>
      <c r="M537" s="92"/>
      <c r="N537" s="95"/>
    </row>
    <row r="538" spans="1:14" x14ac:dyDescent="0.45">
      <c r="A538" s="98"/>
      <c r="B538" s="101"/>
      <c r="C538" s="70" t="str">
        <f>"PXIe-7820R/DIO" &amp; D538</f>
        <v>PXIe-7820R/DIO71</v>
      </c>
      <c r="D538" s="30">
        <f t="shared" si="189"/>
        <v>71</v>
      </c>
      <c r="E538" s="30" t="str">
        <f t="shared" si="191"/>
        <v>PFGA DI (DI State)</v>
      </c>
      <c r="F538" s="30" t="str">
        <f t="shared" si="191"/>
        <v>DI</v>
      </c>
      <c r="G538" s="30" t="str">
        <f t="shared" si="180"/>
        <v>ATE/IO104/DI</v>
      </c>
      <c r="H538" s="90" t="str">
        <f>Paths!$B$3 &amp; I538 &amp; Paths!$B$8</f>
        <v>Targets/Controller/Custom Devices/FPGA Addon/Scalars/Scalar Inputs/DI.IO104/STATE</v>
      </c>
      <c r="I538" s="33" t="str">
        <f>I537</f>
        <v>IO104</v>
      </c>
      <c r="J538" s="104"/>
      <c r="K538" s="104"/>
      <c r="L538" s="107"/>
      <c r="M538" s="92"/>
      <c r="N538" s="95"/>
    </row>
    <row r="539" spans="1:14" x14ac:dyDescent="0.45">
      <c r="A539" s="98"/>
      <c r="B539" s="101"/>
      <c r="C539" s="70" t="str">
        <f>"PXIe-7820R/DIO" &amp; D539</f>
        <v>PXIe-7820R/DIO71</v>
      </c>
      <c r="D539" s="30">
        <f t="shared" si="189"/>
        <v>71</v>
      </c>
      <c r="E539" s="30" t="str">
        <f t="shared" si="191"/>
        <v>FPGA DI (PWM Meas.)</v>
      </c>
      <c r="F539" s="30" t="str">
        <f t="shared" si="191"/>
        <v>PWM_TIMEOUT</v>
      </c>
      <c r="G539" s="30" t="str">
        <f t="shared" ref="G539" si="192">IF(OR(F539="None",F539="TBD"),"None",_xlfn.CONCAT("ATE/",I539,"/",F539))</f>
        <v>ATE/IO104/PWM_TIMEOUT</v>
      </c>
      <c r="H539" s="40" t="str">
        <f>Paths!$B$5 &amp; I539 &amp; Paths!$B$11</f>
        <v>Targets/Controller/Custom Devices/FPGA Addon/Scalars/Scalar Outputs/PWM.Set.IO104/TIMEOUT</v>
      </c>
      <c r="I539" s="33" t="str">
        <f>"IO" &amp; A536</f>
        <v>IO104</v>
      </c>
      <c r="J539" s="104"/>
      <c r="K539" s="104"/>
      <c r="L539" s="107"/>
      <c r="M539" s="92"/>
      <c r="N539" s="95"/>
    </row>
    <row r="540" spans="1:14" x14ac:dyDescent="0.45">
      <c r="A540" s="98"/>
      <c r="B540" s="101"/>
      <c r="C540" s="70" t="str">
        <f>"SLSC-12202-1/P" &amp; ROUNDDOWN(D540/8,0) &amp; "." &amp; MOD(D540,8)</f>
        <v>SLSC-12202-1/P0.7</v>
      </c>
      <c r="D540" s="30">
        <f t="shared" si="189"/>
        <v>7</v>
      </c>
      <c r="E540" s="30" t="str">
        <f t="shared" si="191"/>
        <v>Input</v>
      </c>
      <c r="F540" s="30" t="str">
        <f t="shared" si="191"/>
        <v>None</v>
      </c>
      <c r="G540" s="30" t="str">
        <f t="shared" si="180"/>
        <v>None</v>
      </c>
      <c r="H540" s="36" t="str">
        <f>Paths!$B$17 &amp; "port" &amp; ROUNDDOWN(D540/8,0) &amp; "//line" &amp;MOD(D540,8) &amp;"/Properties/NI.Line.Direction"</f>
        <v>Targets/Controller/Hardware/SLSC/SLSC Chassis/Modules/Slot 6 (SLSC EDS)/Physical Channels/port0//line7/Properties/NI.Line.Direction</v>
      </c>
      <c r="I540" s="33" t="str">
        <f>"IO" &amp; A536</f>
        <v>IO104</v>
      </c>
      <c r="J540" s="104"/>
      <c r="K540" s="104"/>
      <c r="L540" s="107"/>
      <c r="M540" s="92"/>
      <c r="N540" s="95"/>
    </row>
    <row r="541" spans="1:14" x14ac:dyDescent="0.45">
      <c r="A541" s="98"/>
      <c r="B541" s="101"/>
      <c r="C541" s="70" t="str">
        <f>"PXIe-6375/AI" &amp; D541</f>
        <v>PXIe-6375/AI87</v>
      </c>
      <c r="D541" s="30">
        <f t="shared" si="189"/>
        <v>87</v>
      </c>
      <c r="E541" s="56" t="str">
        <f t="shared" si="191"/>
        <v>Scaled current 0-8 A</v>
      </c>
      <c r="F541" s="30" t="str">
        <f t="shared" si="191"/>
        <v>TBD</v>
      </c>
      <c r="G541" s="30" t="str">
        <f t="shared" si="180"/>
        <v>None</v>
      </c>
      <c r="H541" s="41" t="str">
        <f>Paths!$B$27 &amp; I541 &amp; Paths!$B$29</f>
        <v>Targets/Controller/Calculated Channels/ATE/IO104/AI</v>
      </c>
      <c r="I541" s="33" t="str">
        <f>"IO" &amp; A536</f>
        <v>IO104</v>
      </c>
      <c r="J541" s="104"/>
      <c r="K541" s="104"/>
      <c r="L541" s="107"/>
      <c r="M541" s="92"/>
      <c r="N541" s="95"/>
    </row>
    <row r="542" spans="1:14" ht="14.65" thickBot="1" x14ac:dyDescent="0.5">
      <c r="A542" s="99"/>
      <c r="B542" s="102"/>
      <c r="C542" s="71" t="str">
        <f>"SLSC-12251-1/Ch" &amp; D542 &amp; "_DUT"</f>
        <v>SLSC-12251-1/Ch7_DUT</v>
      </c>
      <c r="D542" s="31">
        <f t="shared" si="189"/>
        <v>7</v>
      </c>
      <c r="E542" s="31" t="str">
        <f t="shared" si="191"/>
        <v>FIU</v>
      </c>
      <c r="F542" s="31" t="str">
        <f t="shared" si="191"/>
        <v>TBD</v>
      </c>
      <c r="G542" s="31" t="str">
        <f t="shared" si="180"/>
        <v>None</v>
      </c>
      <c r="H542" s="42" t="str">
        <f>Paths!$B$13 &amp; D542</f>
        <v>Targets/Controller/Hardware/SLSC/SLSC Chassis/Modules/Slot 1 (SLSC EDS :: SLSC-12251)/Physical Channels/Channel_7</v>
      </c>
      <c r="I542" s="59" t="str">
        <f>"IO" &amp; A536</f>
        <v>IO104</v>
      </c>
      <c r="J542" s="105"/>
      <c r="K542" s="105"/>
      <c r="L542" s="108"/>
      <c r="M542" s="93"/>
      <c r="N542" s="96"/>
    </row>
    <row r="543" spans="1:14" ht="15" customHeight="1" x14ac:dyDescent="0.45">
      <c r="A543" s="97">
        <f>A536+1</f>
        <v>105</v>
      </c>
      <c r="B543" s="100" t="str">
        <f>B536</f>
        <v>HIGH LOAD
DI: 0-60 V
AI: 0-60 V
EXT LOAD</v>
      </c>
      <c r="C543" s="69" t="str">
        <f>"PXIe-7820R/DIO" &amp; D543</f>
        <v>PXIe-7820R/DIO72</v>
      </c>
      <c r="D543" s="29">
        <f t="shared" si="189"/>
        <v>72</v>
      </c>
      <c r="E543" s="55" t="str">
        <f t="shared" si="191"/>
        <v>FPGA DI (PWM Meas.)</v>
      </c>
      <c r="F543" s="55" t="str">
        <f t="shared" si="191"/>
        <v>PWM_FR</v>
      </c>
      <c r="G543" s="29" t="str">
        <f t="shared" si="180"/>
        <v>ATE/IO105/PWM_FR</v>
      </c>
      <c r="H543" s="39" t="str">
        <f>Paths!$B$4 &amp; I543 &amp; Paths!$B$9</f>
        <v>Targets/Controller/Custom Devices/FPGA Addon/Scalars/Scalar Inputs/PWM.In.IO105/FREQ</v>
      </c>
      <c r="I543" s="32" t="str">
        <f>"IO" &amp; A543</f>
        <v>IO105</v>
      </c>
      <c r="J543" s="103" t="s">
        <v>6</v>
      </c>
      <c r="K543" s="103" t="s">
        <v>7</v>
      </c>
      <c r="L543" s="106"/>
      <c r="M543" s="91"/>
      <c r="N543" s="94"/>
    </row>
    <row r="544" spans="1:14" x14ac:dyDescent="0.45">
      <c r="A544" s="98"/>
      <c r="B544" s="101"/>
      <c r="C544" s="70" t="str">
        <f>"PXIe-7820R/DIO" &amp; D544</f>
        <v>PXIe-7820R/DIO72</v>
      </c>
      <c r="D544" s="30">
        <f t="shared" si="189"/>
        <v>72</v>
      </c>
      <c r="E544" s="30" t="str">
        <f t="shared" si="191"/>
        <v>FPGA DI (PWM Meas.)</v>
      </c>
      <c r="F544" s="30" t="str">
        <f t="shared" si="191"/>
        <v>PWM_DC</v>
      </c>
      <c r="G544" s="30" t="str">
        <f t="shared" si="180"/>
        <v>ATE/IO105/PWM_DC</v>
      </c>
      <c r="H544" s="40" t="str">
        <f>Paths!$B$4 &amp; I544 &amp; Paths!$B$10</f>
        <v>Targets/Controller/Custom Devices/FPGA Addon/Scalars/Scalar Inputs/PWM.In.IO105/DC</v>
      </c>
      <c r="I544" s="33" t="str">
        <f>"IO" &amp; A543</f>
        <v>IO105</v>
      </c>
      <c r="J544" s="104"/>
      <c r="K544" s="104"/>
      <c r="L544" s="107"/>
      <c r="M544" s="92"/>
      <c r="N544" s="95"/>
    </row>
    <row r="545" spans="1:14" x14ac:dyDescent="0.45">
      <c r="A545" s="98"/>
      <c r="B545" s="101"/>
      <c r="C545" s="70" t="str">
        <f>"PXIe-7820R/DIO" &amp; D545</f>
        <v>PXIe-7820R/DIO72</v>
      </c>
      <c r="D545" s="30">
        <f t="shared" si="189"/>
        <v>72</v>
      </c>
      <c r="E545" s="30" t="str">
        <f t="shared" si="191"/>
        <v>PFGA DI (DI State)</v>
      </c>
      <c r="F545" s="30" t="str">
        <f t="shared" si="191"/>
        <v>DI</v>
      </c>
      <c r="G545" s="30" t="str">
        <f t="shared" si="180"/>
        <v>ATE/IO105/DI</v>
      </c>
      <c r="H545" s="90" t="str">
        <f>Paths!$B$3 &amp; I545 &amp; Paths!$B$8</f>
        <v>Targets/Controller/Custom Devices/FPGA Addon/Scalars/Scalar Inputs/DI.IO105/STATE</v>
      </c>
      <c r="I545" s="33" t="str">
        <f>I544</f>
        <v>IO105</v>
      </c>
      <c r="J545" s="104"/>
      <c r="K545" s="104"/>
      <c r="L545" s="107"/>
      <c r="M545" s="92"/>
      <c r="N545" s="95"/>
    </row>
    <row r="546" spans="1:14" x14ac:dyDescent="0.45">
      <c r="A546" s="98"/>
      <c r="B546" s="101"/>
      <c r="C546" s="70" t="str">
        <f>"PXIe-7820R/DIO" &amp; D546</f>
        <v>PXIe-7820R/DIO72</v>
      </c>
      <c r="D546" s="30">
        <f t="shared" si="189"/>
        <v>72</v>
      </c>
      <c r="E546" s="30" t="str">
        <f t="shared" si="191"/>
        <v>FPGA DI (PWM Meas.)</v>
      </c>
      <c r="F546" s="30" t="str">
        <f t="shared" si="191"/>
        <v>PWM_TIMEOUT</v>
      </c>
      <c r="G546" s="30" t="str">
        <f t="shared" ref="G546" si="193">IF(OR(F546="None",F546="TBD"),"None",_xlfn.CONCAT("ATE/",I546,"/",F546))</f>
        <v>ATE/IO105/PWM_TIMEOUT</v>
      </c>
      <c r="H546" s="40" t="str">
        <f>Paths!$B$5 &amp; I546 &amp; Paths!$B$11</f>
        <v>Targets/Controller/Custom Devices/FPGA Addon/Scalars/Scalar Outputs/PWM.Set.IO105/TIMEOUT</v>
      </c>
      <c r="I546" s="33" t="str">
        <f>"IO" &amp; A543</f>
        <v>IO105</v>
      </c>
      <c r="J546" s="104"/>
      <c r="K546" s="104"/>
      <c r="L546" s="107"/>
      <c r="M546" s="92"/>
      <c r="N546" s="95"/>
    </row>
    <row r="547" spans="1:14" x14ac:dyDescent="0.45">
      <c r="A547" s="98"/>
      <c r="B547" s="101"/>
      <c r="C547" s="70" t="str">
        <f>"SLSC-12202-1/P" &amp; ROUNDDOWN(D547/8,0) &amp; "." &amp; MOD(D547,8)</f>
        <v>SLSC-12202-1/P1.0</v>
      </c>
      <c r="D547" s="30">
        <f t="shared" ref="D547" si="194">D540+1</f>
        <v>8</v>
      </c>
      <c r="E547" s="30" t="str">
        <f t="shared" si="191"/>
        <v>Input</v>
      </c>
      <c r="F547" s="30" t="str">
        <f t="shared" si="191"/>
        <v>None</v>
      </c>
      <c r="G547" s="30" t="str">
        <f t="shared" si="180"/>
        <v>None</v>
      </c>
      <c r="H547" s="36" t="str">
        <f>Paths!$B$17 &amp; "port" &amp; ROUNDDOWN(D547/8,0) &amp; "//line" &amp;MOD(D547,8) &amp;"/Properties/NI.Line.Direction"</f>
        <v>Targets/Controller/Hardware/SLSC/SLSC Chassis/Modules/Slot 6 (SLSC EDS)/Physical Channels/port1//line0/Properties/NI.Line.Direction</v>
      </c>
      <c r="I547" s="33" t="str">
        <f>"IO" &amp; A543</f>
        <v>IO105</v>
      </c>
      <c r="J547" s="104"/>
      <c r="K547" s="104"/>
      <c r="L547" s="107"/>
      <c r="M547" s="92"/>
      <c r="N547" s="95"/>
    </row>
    <row r="548" spans="1:14" x14ac:dyDescent="0.45">
      <c r="A548" s="98"/>
      <c r="B548" s="101"/>
      <c r="C548" s="70" t="str">
        <f>"PXIe-6375/AI" &amp; D548</f>
        <v>PXIe-6375/AI96</v>
      </c>
      <c r="D548" s="45">
        <v>96</v>
      </c>
      <c r="E548" s="56" t="str">
        <f t="shared" si="191"/>
        <v>Scaled current 0-8 A</v>
      </c>
      <c r="F548" s="30" t="str">
        <f t="shared" si="191"/>
        <v>TBD</v>
      </c>
      <c r="G548" s="30" t="str">
        <f t="shared" si="180"/>
        <v>None</v>
      </c>
      <c r="H548" s="41" t="str">
        <f>Paths!$B$27 &amp; I548 &amp; Paths!$B$29</f>
        <v>Targets/Controller/Calculated Channels/ATE/IO105/AI</v>
      </c>
      <c r="I548" s="33" t="str">
        <f>"IO" &amp; A543</f>
        <v>IO105</v>
      </c>
      <c r="J548" s="104"/>
      <c r="K548" s="104"/>
      <c r="L548" s="107"/>
      <c r="M548" s="92"/>
      <c r="N548" s="95"/>
    </row>
    <row r="549" spans="1:14" ht="14.65" thickBot="1" x14ac:dyDescent="0.5">
      <c r="A549" s="99"/>
      <c r="B549" s="102"/>
      <c r="C549" s="71" t="str">
        <f>"SLSC-12251-1/Ch" &amp; D549 &amp; "_DUT"</f>
        <v>SLSC-12251-1/Ch8_DUT</v>
      </c>
      <c r="D549" s="31">
        <f t="shared" ref="D549:D580" si="195">D542+1</f>
        <v>8</v>
      </c>
      <c r="E549" s="31" t="str">
        <f t="shared" si="191"/>
        <v>FIU</v>
      </c>
      <c r="F549" s="31" t="str">
        <f t="shared" si="191"/>
        <v>TBD</v>
      </c>
      <c r="G549" s="31" t="str">
        <f t="shared" si="180"/>
        <v>None</v>
      </c>
      <c r="H549" s="42" t="str">
        <f>Paths!$B$13 &amp; D549</f>
        <v>Targets/Controller/Hardware/SLSC/SLSC Chassis/Modules/Slot 1 (SLSC EDS :: SLSC-12251)/Physical Channels/Channel_8</v>
      </c>
      <c r="I549" s="59" t="str">
        <f>"IO" &amp; A543</f>
        <v>IO105</v>
      </c>
      <c r="J549" s="105"/>
      <c r="K549" s="105"/>
      <c r="L549" s="108"/>
      <c r="M549" s="93"/>
      <c r="N549" s="96"/>
    </row>
    <row r="550" spans="1:14" ht="15" customHeight="1" x14ac:dyDescent="0.45">
      <c r="A550" s="97">
        <f>A543+1</f>
        <v>106</v>
      </c>
      <c r="B550" s="100" t="str">
        <f>B543</f>
        <v>HIGH LOAD
DI: 0-60 V
AI: 0-60 V
EXT LOAD</v>
      </c>
      <c r="C550" s="69" t="str">
        <f>"PXIe-7820R/DIO" &amp; D550</f>
        <v>PXIe-7820R/DIO73</v>
      </c>
      <c r="D550" s="29">
        <f t="shared" si="195"/>
        <v>73</v>
      </c>
      <c r="E550" s="55" t="str">
        <f t="shared" si="191"/>
        <v>FPGA DI (PWM Meas.)</v>
      </c>
      <c r="F550" s="55" t="str">
        <f t="shared" si="191"/>
        <v>PWM_FR</v>
      </c>
      <c r="G550" s="29" t="str">
        <f t="shared" si="180"/>
        <v>ATE/IO106/PWM_FR</v>
      </c>
      <c r="H550" s="39" t="str">
        <f>Paths!$B$4 &amp; I550 &amp; Paths!$B$9</f>
        <v>Targets/Controller/Custom Devices/FPGA Addon/Scalars/Scalar Inputs/PWM.In.IO106/FREQ</v>
      </c>
      <c r="I550" s="32" t="str">
        <f>"IO" &amp; A550</f>
        <v>IO106</v>
      </c>
      <c r="J550" s="103" t="s">
        <v>6</v>
      </c>
      <c r="K550" s="103" t="s">
        <v>7</v>
      </c>
      <c r="L550" s="106"/>
      <c r="M550" s="91"/>
      <c r="N550" s="94"/>
    </row>
    <row r="551" spans="1:14" x14ac:dyDescent="0.45">
      <c r="A551" s="98"/>
      <c r="B551" s="101"/>
      <c r="C551" s="70" t="str">
        <f>"PXIe-7820R/DIO" &amp; D551</f>
        <v>PXIe-7820R/DIO73</v>
      </c>
      <c r="D551" s="30">
        <f t="shared" si="195"/>
        <v>73</v>
      </c>
      <c r="E551" s="30" t="str">
        <f t="shared" si="191"/>
        <v>FPGA DI (PWM Meas.)</v>
      </c>
      <c r="F551" s="30" t="str">
        <f t="shared" si="191"/>
        <v>PWM_DC</v>
      </c>
      <c r="G551" s="30" t="str">
        <f t="shared" si="180"/>
        <v>ATE/IO106/PWM_DC</v>
      </c>
      <c r="H551" s="40" t="str">
        <f>Paths!$B$4 &amp; I551 &amp; Paths!$B$10</f>
        <v>Targets/Controller/Custom Devices/FPGA Addon/Scalars/Scalar Inputs/PWM.In.IO106/DC</v>
      </c>
      <c r="I551" s="33" t="str">
        <f>"IO" &amp; A550</f>
        <v>IO106</v>
      </c>
      <c r="J551" s="104"/>
      <c r="K551" s="104"/>
      <c r="L551" s="107"/>
      <c r="M551" s="92"/>
      <c r="N551" s="95"/>
    </row>
    <row r="552" spans="1:14" x14ac:dyDescent="0.45">
      <c r="A552" s="98"/>
      <c r="B552" s="101"/>
      <c r="C552" s="70" t="str">
        <f>"PXIe-7820R/DIO" &amp; D552</f>
        <v>PXIe-7820R/DIO73</v>
      </c>
      <c r="D552" s="30">
        <f t="shared" si="195"/>
        <v>73</v>
      </c>
      <c r="E552" s="30" t="str">
        <f t="shared" si="191"/>
        <v>PFGA DI (DI State)</v>
      </c>
      <c r="F552" s="30" t="str">
        <f t="shared" si="191"/>
        <v>DI</v>
      </c>
      <c r="G552" s="30" t="str">
        <f t="shared" si="180"/>
        <v>ATE/IO106/DI</v>
      </c>
      <c r="H552" s="90" t="str">
        <f>Paths!$B$3 &amp; I552 &amp; Paths!$B$8</f>
        <v>Targets/Controller/Custom Devices/FPGA Addon/Scalars/Scalar Inputs/DI.IO106/STATE</v>
      </c>
      <c r="I552" s="33" t="str">
        <f>I551</f>
        <v>IO106</v>
      </c>
      <c r="J552" s="104"/>
      <c r="K552" s="104"/>
      <c r="L552" s="107"/>
      <c r="M552" s="92"/>
      <c r="N552" s="95"/>
    </row>
    <row r="553" spans="1:14" x14ac:dyDescent="0.45">
      <c r="A553" s="98"/>
      <c r="B553" s="101"/>
      <c r="C553" s="70" t="str">
        <f>"PXIe-7820R/DIO" &amp; D553</f>
        <v>PXIe-7820R/DIO73</v>
      </c>
      <c r="D553" s="30">
        <f t="shared" si="195"/>
        <v>73</v>
      </c>
      <c r="E553" s="30" t="str">
        <f t="shared" si="191"/>
        <v>FPGA DI (PWM Meas.)</v>
      </c>
      <c r="F553" s="30" t="str">
        <f t="shared" si="191"/>
        <v>PWM_TIMEOUT</v>
      </c>
      <c r="G553" s="30" t="str">
        <f t="shared" ref="G553" si="196">IF(OR(F553="None",F553="TBD"),"None",_xlfn.CONCAT("ATE/",I553,"/",F553))</f>
        <v>ATE/IO106/PWM_TIMEOUT</v>
      </c>
      <c r="H553" s="40" t="str">
        <f>Paths!$B$5 &amp; I553 &amp; Paths!$B$11</f>
        <v>Targets/Controller/Custom Devices/FPGA Addon/Scalars/Scalar Outputs/PWM.Set.IO106/TIMEOUT</v>
      </c>
      <c r="I553" s="33" t="str">
        <f>"IO" &amp; A550</f>
        <v>IO106</v>
      </c>
      <c r="J553" s="104"/>
      <c r="K553" s="104"/>
      <c r="L553" s="107"/>
      <c r="M553" s="92"/>
      <c r="N553" s="95"/>
    </row>
    <row r="554" spans="1:14" x14ac:dyDescent="0.45">
      <c r="A554" s="98"/>
      <c r="B554" s="101"/>
      <c r="C554" s="70" t="str">
        <f>"SLSC-12202-1/P" &amp; ROUNDDOWN(D554/8,0) &amp; "." &amp; MOD(D554,8)</f>
        <v>SLSC-12202-1/P1.1</v>
      </c>
      <c r="D554" s="30">
        <f t="shared" si="195"/>
        <v>9</v>
      </c>
      <c r="E554" s="30" t="str">
        <f t="shared" ref="E554:F573" si="197">E547</f>
        <v>Input</v>
      </c>
      <c r="F554" s="30" t="str">
        <f t="shared" si="197"/>
        <v>None</v>
      </c>
      <c r="G554" s="30" t="str">
        <f t="shared" si="180"/>
        <v>None</v>
      </c>
      <c r="H554" s="36" t="str">
        <f>Paths!$B$17 &amp; "port" &amp; ROUNDDOWN(D554/8,0) &amp; "//line" &amp;MOD(D554,8) &amp;"/Properties/NI.Line.Direction"</f>
        <v>Targets/Controller/Hardware/SLSC/SLSC Chassis/Modules/Slot 6 (SLSC EDS)/Physical Channels/port1//line1/Properties/NI.Line.Direction</v>
      </c>
      <c r="I554" s="33" t="str">
        <f>"IO" &amp; A550</f>
        <v>IO106</v>
      </c>
      <c r="J554" s="104"/>
      <c r="K554" s="104"/>
      <c r="L554" s="107"/>
      <c r="M554" s="92"/>
      <c r="N554" s="95"/>
    </row>
    <row r="555" spans="1:14" x14ac:dyDescent="0.45">
      <c r="A555" s="98"/>
      <c r="B555" s="101"/>
      <c r="C555" s="70" t="str">
        <f>"PXIe-6375/AI" &amp; D555</f>
        <v>PXIe-6375/AI97</v>
      </c>
      <c r="D555" s="30">
        <f t="shared" si="195"/>
        <v>97</v>
      </c>
      <c r="E555" s="56" t="str">
        <f t="shared" si="197"/>
        <v>Scaled current 0-8 A</v>
      </c>
      <c r="F555" s="30" t="str">
        <f t="shared" si="197"/>
        <v>TBD</v>
      </c>
      <c r="G555" s="30" t="str">
        <f t="shared" si="180"/>
        <v>None</v>
      </c>
      <c r="H555" s="41" t="str">
        <f>Paths!$B$27 &amp; I555 &amp; Paths!$B$29</f>
        <v>Targets/Controller/Calculated Channels/ATE/IO106/AI</v>
      </c>
      <c r="I555" s="33" t="str">
        <f>"IO" &amp; A550</f>
        <v>IO106</v>
      </c>
      <c r="J555" s="104"/>
      <c r="K555" s="104"/>
      <c r="L555" s="107"/>
      <c r="M555" s="92"/>
      <c r="N555" s="95"/>
    </row>
    <row r="556" spans="1:14" ht="14.65" thickBot="1" x14ac:dyDescent="0.5">
      <c r="A556" s="99"/>
      <c r="B556" s="102"/>
      <c r="C556" s="71" t="str">
        <f>"SLSC-12251-1/Ch" &amp; D556 &amp; "_DUT"</f>
        <v>SLSC-12251-1/Ch9_DUT</v>
      </c>
      <c r="D556" s="31">
        <f t="shared" si="195"/>
        <v>9</v>
      </c>
      <c r="E556" s="31" t="str">
        <f t="shared" si="197"/>
        <v>FIU</v>
      </c>
      <c r="F556" s="31" t="str">
        <f t="shared" si="197"/>
        <v>TBD</v>
      </c>
      <c r="G556" s="31" t="str">
        <f t="shared" si="180"/>
        <v>None</v>
      </c>
      <c r="H556" s="42" t="str">
        <f>Paths!$B$13 &amp; D556</f>
        <v>Targets/Controller/Hardware/SLSC/SLSC Chassis/Modules/Slot 1 (SLSC EDS :: SLSC-12251)/Physical Channels/Channel_9</v>
      </c>
      <c r="I556" s="59" t="str">
        <f>"IO" &amp; A550</f>
        <v>IO106</v>
      </c>
      <c r="J556" s="105"/>
      <c r="K556" s="105"/>
      <c r="L556" s="108"/>
      <c r="M556" s="93"/>
      <c r="N556" s="96"/>
    </row>
    <row r="557" spans="1:14" ht="15" customHeight="1" x14ac:dyDescent="0.45">
      <c r="A557" s="97">
        <f>A550+1</f>
        <v>107</v>
      </c>
      <c r="B557" s="100" t="str">
        <f>B550</f>
        <v>HIGH LOAD
DI: 0-60 V
AI: 0-60 V
EXT LOAD</v>
      </c>
      <c r="C557" s="69" t="str">
        <f>"PXIe-7820R/DIO" &amp; D557</f>
        <v>PXIe-7820R/DIO74</v>
      </c>
      <c r="D557" s="29">
        <f t="shared" si="195"/>
        <v>74</v>
      </c>
      <c r="E557" s="55" t="str">
        <f t="shared" si="197"/>
        <v>FPGA DI (PWM Meas.)</v>
      </c>
      <c r="F557" s="55" t="str">
        <f t="shared" si="197"/>
        <v>PWM_FR</v>
      </c>
      <c r="G557" s="29" t="str">
        <f t="shared" si="180"/>
        <v>ATE/IO107/PWM_FR</v>
      </c>
      <c r="H557" s="39" t="str">
        <f>Paths!$B$4 &amp; I557 &amp; Paths!$B$9</f>
        <v>Targets/Controller/Custom Devices/FPGA Addon/Scalars/Scalar Inputs/PWM.In.IO107/FREQ</v>
      </c>
      <c r="I557" s="32" t="str">
        <f>"IO" &amp; A557</f>
        <v>IO107</v>
      </c>
      <c r="J557" s="103" t="s">
        <v>6</v>
      </c>
      <c r="K557" s="103" t="s">
        <v>7</v>
      </c>
      <c r="L557" s="106"/>
      <c r="M557" s="91"/>
      <c r="N557" s="94"/>
    </row>
    <row r="558" spans="1:14" x14ac:dyDescent="0.45">
      <c r="A558" s="98"/>
      <c r="B558" s="101"/>
      <c r="C558" s="70" t="str">
        <f>"PXIe-7820R/DIO" &amp; D558</f>
        <v>PXIe-7820R/DIO74</v>
      </c>
      <c r="D558" s="30">
        <f t="shared" si="195"/>
        <v>74</v>
      </c>
      <c r="E558" s="30" t="str">
        <f t="shared" si="197"/>
        <v>FPGA DI (PWM Meas.)</v>
      </c>
      <c r="F558" s="30" t="str">
        <f t="shared" si="197"/>
        <v>PWM_DC</v>
      </c>
      <c r="G558" s="30" t="str">
        <f t="shared" si="180"/>
        <v>ATE/IO107/PWM_DC</v>
      </c>
      <c r="H558" s="40" t="str">
        <f>Paths!$B$4 &amp; I558 &amp; Paths!$B$10</f>
        <v>Targets/Controller/Custom Devices/FPGA Addon/Scalars/Scalar Inputs/PWM.In.IO107/DC</v>
      </c>
      <c r="I558" s="33" t="str">
        <f>"IO" &amp; A557</f>
        <v>IO107</v>
      </c>
      <c r="J558" s="104"/>
      <c r="K558" s="104"/>
      <c r="L558" s="107"/>
      <c r="M558" s="92"/>
      <c r="N558" s="95"/>
    </row>
    <row r="559" spans="1:14" x14ac:dyDescent="0.45">
      <c r="A559" s="98"/>
      <c r="B559" s="101"/>
      <c r="C559" s="70" t="str">
        <f>"PXIe-7820R/DIO" &amp; D559</f>
        <v>PXIe-7820R/DIO74</v>
      </c>
      <c r="D559" s="30">
        <f t="shared" si="195"/>
        <v>74</v>
      </c>
      <c r="E559" s="30" t="str">
        <f t="shared" si="197"/>
        <v>PFGA DI (DI State)</v>
      </c>
      <c r="F559" s="30" t="str">
        <f t="shared" si="197"/>
        <v>DI</v>
      </c>
      <c r="G559" s="30" t="str">
        <f t="shared" si="180"/>
        <v>ATE/IO107/DI</v>
      </c>
      <c r="H559" s="90" t="str">
        <f>Paths!$B$3 &amp; I559 &amp; Paths!$B$8</f>
        <v>Targets/Controller/Custom Devices/FPGA Addon/Scalars/Scalar Inputs/DI.IO107/STATE</v>
      </c>
      <c r="I559" s="33" t="str">
        <f>I558</f>
        <v>IO107</v>
      </c>
      <c r="J559" s="104"/>
      <c r="K559" s="104"/>
      <c r="L559" s="107"/>
      <c r="M559" s="92"/>
      <c r="N559" s="95"/>
    </row>
    <row r="560" spans="1:14" x14ac:dyDescent="0.45">
      <c r="A560" s="98"/>
      <c r="B560" s="101"/>
      <c r="C560" s="70" t="str">
        <f>"PXIe-7820R/DIO" &amp; D560</f>
        <v>PXIe-7820R/DIO74</v>
      </c>
      <c r="D560" s="30">
        <f t="shared" si="195"/>
        <v>74</v>
      </c>
      <c r="E560" s="30" t="str">
        <f t="shared" si="197"/>
        <v>FPGA DI (PWM Meas.)</v>
      </c>
      <c r="F560" s="30" t="str">
        <f t="shared" si="197"/>
        <v>PWM_TIMEOUT</v>
      </c>
      <c r="G560" s="30" t="str">
        <f t="shared" ref="G560" si="198">IF(OR(F560="None",F560="TBD"),"None",_xlfn.CONCAT("ATE/",I560,"/",F560))</f>
        <v>ATE/IO107/PWM_TIMEOUT</v>
      </c>
      <c r="H560" s="40" t="str">
        <f>Paths!$B$5 &amp; I560 &amp; Paths!$B$11</f>
        <v>Targets/Controller/Custom Devices/FPGA Addon/Scalars/Scalar Outputs/PWM.Set.IO107/TIMEOUT</v>
      </c>
      <c r="I560" s="33" t="str">
        <f>"IO" &amp; A557</f>
        <v>IO107</v>
      </c>
      <c r="J560" s="104"/>
      <c r="K560" s="104"/>
      <c r="L560" s="107"/>
      <c r="M560" s="92"/>
      <c r="N560" s="95"/>
    </row>
    <row r="561" spans="1:14" x14ac:dyDescent="0.45">
      <c r="A561" s="98"/>
      <c r="B561" s="101"/>
      <c r="C561" s="70" t="str">
        <f>"SLSC-12202-1/P" &amp; ROUNDDOWN(D561/8,0) &amp; "." &amp; MOD(D561,8)</f>
        <v>SLSC-12202-1/P1.2</v>
      </c>
      <c r="D561" s="30">
        <f t="shared" si="195"/>
        <v>10</v>
      </c>
      <c r="E561" s="30" t="str">
        <f t="shared" si="197"/>
        <v>Input</v>
      </c>
      <c r="F561" s="30" t="str">
        <f t="shared" si="197"/>
        <v>None</v>
      </c>
      <c r="G561" s="30" t="str">
        <f t="shared" si="180"/>
        <v>None</v>
      </c>
      <c r="H561" s="36" t="str">
        <f>Paths!$B$17 &amp; "port" &amp; ROUNDDOWN(D561/8,0) &amp; "//line" &amp;MOD(D561,8) &amp;"/Properties/NI.Line.Direction"</f>
        <v>Targets/Controller/Hardware/SLSC/SLSC Chassis/Modules/Slot 6 (SLSC EDS)/Physical Channels/port1//line2/Properties/NI.Line.Direction</v>
      </c>
      <c r="I561" s="33" t="str">
        <f>"IO" &amp; A557</f>
        <v>IO107</v>
      </c>
      <c r="J561" s="104"/>
      <c r="K561" s="104"/>
      <c r="L561" s="107"/>
      <c r="M561" s="92"/>
      <c r="N561" s="95"/>
    </row>
    <row r="562" spans="1:14" x14ac:dyDescent="0.45">
      <c r="A562" s="98"/>
      <c r="B562" s="101"/>
      <c r="C562" s="70" t="str">
        <f>"PXIe-6375/AI" &amp; D562</f>
        <v>PXIe-6375/AI98</v>
      </c>
      <c r="D562" s="30">
        <f t="shared" si="195"/>
        <v>98</v>
      </c>
      <c r="E562" s="56" t="str">
        <f t="shared" si="197"/>
        <v>Scaled current 0-8 A</v>
      </c>
      <c r="F562" s="30" t="str">
        <f t="shared" si="197"/>
        <v>TBD</v>
      </c>
      <c r="G562" s="30" t="str">
        <f t="shared" si="180"/>
        <v>None</v>
      </c>
      <c r="H562" s="41" t="str">
        <f>Paths!$B$27 &amp; I562 &amp; Paths!$B$29</f>
        <v>Targets/Controller/Calculated Channels/ATE/IO107/AI</v>
      </c>
      <c r="I562" s="33" t="str">
        <f>"IO" &amp; A557</f>
        <v>IO107</v>
      </c>
      <c r="J562" s="104"/>
      <c r="K562" s="104"/>
      <c r="L562" s="107"/>
      <c r="M562" s="92"/>
      <c r="N562" s="95"/>
    </row>
    <row r="563" spans="1:14" ht="14.65" thickBot="1" x14ac:dyDescent="0.5">
      <c r="A563" s="99"/>
      <c r="B563" s="102"/>
      <c r="C563" s="71" t="str">
        <f>"SLSC-12251-1/Ch" &amp; D563 &amp; "_DUT"</f>
        <v>SLSC-12251-1/Ch10_DUT</v>
      </c>
      <c r="D563" s="31">
        <f t="shared" si="195"/>
        <v>10</v>
      </c>
      <c r="E563" s="31" t="str">
        <f t="shared" si="197"/>
        <v>FIU</v>
      </c>
      <c r="F563" s="31" t="str">
        <f t="shared" si="197"/>
        <v>TBD</v>
      </c>
      <c r="G563" s="31" t="str">
        <f t="shared" si="180"/>
        <v>None</v>
      </c>
      <c r="H563" s="42" t="str">
        <f>Paths!$B$13 &amp; D563</f>
        <v>Targets/Controller/Hardware/SLSC/SLSC Chassis/Modules/Slot 1 (SLSC EDS :: SLSC-12251)/Physical Channels/Channel_10</v>
      </c>
      <c r="I563" s="59" t="str">
        <f>"IO" &amp; A557</f>
        <v>IO107</v>
      </c>
      <c r="J563" s="105"/>
      <c r="K563" s="105"/>
      <c r="L563" s="108"/>
      <c r="M563" s="93"/>
      <c r="N563" s="96"/>
    </row>
    <row r="564" spans="1:14" ht="15" customHeight="1" x14ac:dyDescent="0.45">
      <c r="A564" s="97">
        <f>A557+1</f>
        <v>108</v>
      </c>
      <c r="B564" s="100" t="str">
        <f>B557</f>
        <v>HIGH LOAD
DI: 0-60 V
AI: 0-60 V
EXT LOAD</v>
      </c>
      <c r="C564" s="69" t="str">
        <f>"PXIe-7820R/DIO" &amp; D564</f>
        <v>PXIe-7820R/DIO75</v>
      </c>
      <c r="D564" s="29">
        <f t="shared" si="195"/>
        <v>75</v>
      </c>
      <c r="E564" s="55" t="str">
        <f t="shared" si="197"/>
        <v>FPGA DI (PWM Meas.)</v>
      </c>
      <c r="F564" s="55" t="str">
        <f t="shared" si="197"/>
        <v>PWM_FR</v>
      </c>
      <c r="G564" s="29" t="str">
        <f t="shared" si="180"/>
        <v>ATE/IO108/PWM_FR</v>
      </c>
      <c r="H564" s="39" t="str">
        <f>Paths!$B$4 &amp; I564 &amp; Paths!$B$9</f>
        <v>Targets/Controller/Custom Devices/FPGA Addon/Scalars/Scalar Inputs/PWM.In.IO108/FREQ</v>
      </c>
      <c r="I564" s="32" t="str">
        <f>"IO" &amp; A564</f>
        <v>IO108</v>
      </c>
      <c r="J564" s="103" t="s">
        <v>6</v>
      </c>
      <c r="K564" s="103" t="s">
        <v>7</v>
      </c>
      <c r="L564" s="106"/>
      <c r="M564" s="91"/>
      <c r="N564" s="94"/>
    </row>
    <row r="565" spans="1:14" x14ac:dyDescent="0.45">
      <c r="A565" s="98"/>
      <c r="B565" s="101"/>
      <c r="C565" s="70" t="str">
        <f>"PXIe-7820R/DIO" &amp; D565</f>
        <v>PXIe-7820R/DIO75</v>
      </c>
      <c r="D565" s="30">
        <f t="shared" si="195"/>
        <v>75</v>
      </c>
      <c r="E565" s="30" t="str">
        <f t="shared" si="197"/>
        <v>FPGA DI (PWM Meas.)</v>
      </c>
      <c r="F565" s="30" t="str">
        <f t="shared" si="197"/>
        <v>PWM_DC</v>
      </c>
      <c r="G565" s="30" t="str">
        <f t="shared" si="180"/>
        <v>ATE/IO108/PWM_DC</v>
      </c>
      <c r="H565" s="40" t="str">
        <f>Paths!$B$4 &amp; I565 &amp; Paths!$B$10</f>
        <v>Targets/Controller/Custom Devices/FPGA Addon/Scalars/Scalar Inputs/PWM.In.IO108/DC</v>
      </c>
      <c r="I565" s="33" t="str">
        <f>"IO" &amp; A564</f>
        <v>IO108</v>
      </c>
      <c r="J565" s="104"/>
      <c r="K565" s="104"/>
      <c r="L565" s="107"/>
      <c r="M565" s="92"/>
      <c r="N565" s="95"/>
    </row>
    <row r="566" spans="1:14" x14ac:dyDescent="0.45">
      <c r="A566" s="98"/>
      <c r="B566" s="101"/>
      <c r="C566" s="70" t="str">
        <f>"PXIe-7820R/DIO" &amp; D566</f>
        <v>PXIe-7820R/DIO75</v>
      </c>
      <c r="D566" s="30">
        <f t="shared" si="195"/>
        <v>75</v>
      </c>
      <c r="E566" s="30" t="str">
        <f t="shared" si="197"/>
        <v>PFGA DI (DI State)</v>
      </c>
      <c r="F566" s="30" t="str">
        <f t="shared" si="197"/>
        <v>DI</v>
      </c>
      <c r="G566" s="30" t="str">
        <f t="shared" si="180"/>
        <v>ATE/IO108/DI</v>
      </c>
      <c r="H566" s="90" t="str">
        <f>Paths!$B$3 &amp; I566 &amp; Paths!$B$8</f>
        <v>Targets/Controller/Custom Devices/FPGA Addon/Scalars/Scalar Inputs/DI.IO108/STATE</v>
      </c>
      <c r="I566" s="33" t="str">
        <f>I565</f>
        <v>IO108</v>
      </c>
      <c r="J566" s="104"/>
      <c r="K566" s="104"/>
      <c r="L566" s="107"/>
      <c r="M566" s="92"/>
      <c r="N566" s="95"/>
    </row>
    <row r="567" spans="1:14" x14ac:dyDescent="0.45">
      <c r="A567" s="98"/>
      <c r="B567" s="101"/>
      <c r="C567" s="70" t="str">
        <f>"PXIe-7820R/DIO" &amp; D567</f>
        <v>PXIe-7820R/DIO75</v>
      </c>
      <c r="D567" s="30">
        <f t="shared" si="195"/>
        <v>75</v>
      </c>
      <c r="E567" s="30" t="str">
        <f t="shared" si="197"/>
        <v>FPGA DI (PWM Meas.)</v>
      </c>
      <c r="F567" s="30" t="str">
        <f t="shared" si="197"/>
        <v>PWM_TIMEOUT</v>
      </c>
      <c r="G567" s="30" t="str">
        <f t="shared" ref="G567" si="199">IF(OR(F567="None",F567="TBD"),"None",_xlfn.CONCAT("ATE/",I567,"/",F567))</f>
        <v>ATE/IO108/PWM_TIMEOUT</v>
      </c>
      <c r="H567" s="40" t="str">
        <f>Paths!$B$5 &amp; I567 &amp; Paths!$B$11</f>
        <v>Targets/Controller/Custom Devices/FPGA Addon/Scalars/Scalar Outputs/PWM.Set.IO108/TIMEOUT</v>
      </c>
      <c r="I567" s="33" t="str">
        <f>"IO" &amp; A564</f>
        <v>IO108</v>
      </c>
      <c r="J567" s="104"/>
      <c r="K567" s="104"/>
      <c r="L567" s="107"/>
      <c r="M567" s="92"/>
      <c r="N567" s="95"/>
    </row>
    <row r="568" spans="1:14" x14ac:dyDescent="0.45">
      <c r="A568" s="98"/>
      <c r="B568" s="101"/>
      <c r="C568" s="70" t="str">
        <f>"SLSC-12202-1/P" &amp; ROUNDDOWN(D568/8,0) &amp; "." &amp; MOD(D568,8)</f>
        <v>SLSC-12202-1/P1.3</v>
      </c>
      <c r="D568" s="30">
        <f t="shared" si="195"/>
        <v>11</v>
      </c>
      <c r="E568" s="30" t="str">
        <f t="shared" si="197"/>
        <v>Input</v>
      </c>
      <c r="F568" s="30" t="str">
        <f t="shared" si="197"/>
        <v>None</v>
      </c>
      <c r="G568" s="30" t="str">
        <f t="shared" si="180"/>
        <v>None</v>
      </c>
      <c r="H568" s="36" t="str">
        <f>Paths!$B$17 &amp; "port" &amp; ROUNDDOWN(D568/8,0) &amp; "//line" &amp;MOD(D568,8) &amp;"/Properties/NI.Line.Direction"</f>
        <v>Targets/Controller/Hardware/SLSC/SLSC Chassis/Modules/Slot 6 (SLSC EDS)/Physical Channels/port1//line3/Properties/NI.Line.Direction</v>
      </c>
      <c r="I568" s="33" t="str">
        <f>"IO" &amp; A564</f>
        <v>IO108</v>
      </c>
      <c r="J568" s="104"/>
      <c r="K568" s="104"/>
      <c r="L568" s="107"/>
      <c r="M568" s="92"/>
      <c r="N568" s="95"/>
    </row>
    <row r="569" spans="1:14" x14ac:dyDescent="0.45">
      <c r="A569" s="98"/>
      <c r="B569" s="101"/>
      <c r="C569" s="70" t="str">
        <f>"PXIe-6375/AI" &amp; D569</f>
        <v>PXIe-6375/AI99</v>
      </c>
      <c r="D569" s="30">
        <f t="shared" si="195"/>
        <v>99</v>
      </c>
      <c r="E569" s="56" t="str">
        <f t="shared" si="197"/>
        <v>Scaled current 0-8 A</v>
      </c>
      <c r="F569" s="30" t="str">
        <f t="shared" si="197"/>
        <v>TBD</v>
      </c>
      <c r="G569" s="30" t="str">
        <f t="shared" si="180"/>
        <v>None</v>
      </c>
      <c r="H569" s="41" t="str">
        <f>Paths!$B$27 &amp; I569 &amp; Paths!$B$29</f>
        <v>Targets/Controller/Calculated Channels/ATE/IO108/AI</v>
      </c>
      <c r="I569" s="33" t="str">
        <f>"IO" &amp; A564</f>
        <v>IO108</v>
      </c>
      <c r="J569" s="104"/>
      <c r="K569" s="104"/>
      <c r="L569" s="107"/>
      <c r="M569" s="92"/>
      <c r="N569" s="95"/>
    </row>
    <row r="570" spans="1:14" ht="14.65" thickBot="1" x14ac:dyDescent="0.5">
      <c r="A570" s="99"/>
      <c r="B570" s="102"/>
      <c r="C570" s="71" t="str">
        <f>"SLSC-12251-1/Ch" &amp; D570 &amp; "_DUT"</f>
        <v>SLSC-12251-1/Ch11_DUT</v>
      </c>
      <c r="D570" s="31">
        <f t="shared" si="195"/>
        <v>11</v>
      </c>
      <c r="E570" s="31" t="str">
        <f t="shared" si="197"/>
        <v>FIU</v>
      </c>
      <c r="F570" s="31" t="str">
        <f t="shared" si="197"/>
        <v>TBD</v>
      </c>
      <c r="G570" s="31" t="str">
        <f t="shared" si="180"/>
        <v>None</v>
      </c>
      <c r="H570" s="42" t="str">
        <f>Paths!$B$13 &amp; D570</f>
        <v>Targets/Controller/Hardware/SLSC/SLSC Chassis/Modules/Slot 1 (SLSC EDS :: SLSC-12251)/Physical Channels/Channel_11</v>
      </c>
      <c r="I570" s="59" t="str">
        <f>"IO" &amp; A564</f>
        <v>IO108</v>
      </c>
      <c r="J570" s="105"/>
      <c r="K570" s="105"/>
      <c r="L570" s="108"/>
      <c r="M570" s="93"/>
      <c r="N570" s="96"/>
    </row>
    <row r="571" spans="1:14" ht="15" customHeight="1" x14ac:dyDescent="0.45">
      <c r="A571" s="97">
        <f>A564+1</f>
        <v>109</v>
      </c>
      <c r="B571" s="100" t="str">
        <f>B564</f>
        <v>HIGH LOAD
DI: 0-60 V
AI: 0-60 V
EXT LOAD</v>
      </c>
      <c r="C571" s="69" t="str">
        <f>"PXIe-7820R/DIO" &amp; D571</f>
        <v>PXIe-7820R/DIO76</v>
      </c>
      <c r="D571" s="29">
        <f t="shared" si="195"/>
        <v>76</v>
      </c>
      <c r="E571" s="55" t="str">
        <f t="shared" si="197"/>
        <v>FPGA DI (PWM Meas.)</v>
      </c>
      <c r="F571" s="55" t="str">
        <f t="shared" si="197"/>
        <v>PWM_FR</v>
      </c>
      <c r="G571" s="29" t="str">
        <f t="shared" si="180"/>
        <v>ATE/IO109/PWM_FR</v>
      </c>
      <c r="H571" s="39" t="str">
        <f>Paths!$B$4 &amp; I571 &amp; Paths!$B$9</f>
        <v>Targets/Controller/Custom Devices/FPGA Addon/Scalars/Scalar Inputs/PWM.In.IO109/FREQ</v>
      </c>
      <c r="I571" s="32" t="str">
        <f>"IO" &amp; A571</f>
        <v>IO109</v>
      </c>
      <c r="J571" s="103" t="s">
        <v>6</v>
      </c>
      <c r="K571" s="103" t="s">
        <v>7</v>
      </c>
      <c r="L571" s="106"/>
      <c r="M571" s="91"/>
      <c r="N571" s="94"/>
    </row>
    <row r="572" spans="1:14" x14ac:dyDescent="0.45">
      <c r="A572" s="98"/>
      <c r="B572" s="101"/>
      <c r="C572" s="70" t="str">
        <f>"PXIe-7820R/DIO" &amp; D572</f>
        <v>PXIe-7820R/DIO76</v>
      </c>
      <c r="D572" s="30">
        <f t="shared" si="195"/>
        <v>76</v>
      </c>
      <c r="E572" s="30" t="str">
        <f t="shared" si="197"/>
        <v>FPGA DI (PWM Meas.)</v>
      </c>
      <c r="F572" s="30" t="str">
        <f t="shared" si="197"/>
        <v>PWM_DC</v>
      </c>
      <c r="G572" s="30" t="str">
        <f t="shared" si="180"/>
        <v>ATE/IO109/PWM_DC</v>
      </c>
      <c r="H572" s="40" t="str">
        <f>Paths!$B$4 &amp; I572 &amp; Paths!$B$10</f>
        <v>Targets/Controller/Custom Devices/FPGA Addon/Scalars/Scalar Inputs/PWM.In.IO109/DC</v>
      </c>
      <c r="I572" s="33" t="str">
        <f>"IO" &amp; A571</f>
        <v>IO109</v>
      </c>
      <c r="J572" s="104"/>
      <c r="K572" s="104"/>
      <c r="L572" s="107"/>
      <c r="M572" s="92"/>
      <c r="N572" s="95"/>
    </row>
    <row r="573" spans="1:14" x14ac:dyDescent="0.45">
      <c r="A573" s="98"/>
      <c r="B573" s="101"/>
      <c r="C573" s="70" t="str">
        <f>"PXIe-7820R/DIO" &amp; D573</f>
        <v>PXIe-7820R/DIO76</v>
      </c>
      <c r="D573" s="30">
        <f t="shared" si="195"/>
        <v>76</v>
      </c>
      <c r="E573" s="30" t="str">
        <f t="shared" si="197"/>
        <v>PFGA DI (DI State)</v>
      </c>
      <c r="F573" s="30" t="str">
        <f t="shared" si="197"/>
        <v>DI</v>
      </c>
      <c r="G573" s="30" t="str">
        <f t="shared" si="180"/>
        <v>ATE/IO109/DI</v>
      </c>
      <c r="H573" s="90" t="str">
        <f>Paths!$B$3 &amp; I573 &amp; Paths!$B$8</f>
        <v>Targets/Controller/Custom Devices/FPGA Addon/Scalars/Scalar Inputs/DI.IO109/STATE</v>
      </c>
      <c r="I573" s="33" t="str">
        <f>I572</f>
        <v>IO109</v>
      </c>
      <c r="J573" s="104"/>
      <c r="K573" s="104"/>
      <c r="L573" s="107"/>
      <c r="M573" s="92"/>
      <c r="N573" s="95"/>
    </row>
    <row r="574" spans="1:14" x14ac:dyDescent="0.45">
      <c r="A574" s="98"/>
      <c r="B574" s="101"/>
      <c r="C574" s="70" t="str">
        <f>"PXIe-7820R/DIO" &amp; D574</f>
        <v>PXIe-7820R/DIO76</v>
      </c>
      <c r="D574" s="30">
        <f t="shared" si="195"/>
        <v>76</v>
      </c>
      <c r="E574" s="30" t="str">
        <f t="shared" ref="E574:F593" si="200">E567</f>
        <v>FPGA DI (PWM Meas.)</v>
      </c>
      <c r="F574" s="30" t="str">
        <f t="shared" si="200"/>
        <v>PWM_TIMEOUT</v>
      </c>
      <c r="G574" s="30" t="str">
        <f t="shared" ref="G574" si="201">IF(OR(F574="None",F574="TBD"),"None",_xlfn.CONCAT("ATE/",I574,"/",F574))</f>
        <v>ATE/IO109/PWM_TIMEOUT</v>
      </c>
      <c r="H574" s="40" t="str">
        <f>Paths!$B$5 &amp; I574 &amp; Paths!$B$11</f>
        <v>Targets/Controller/Custom Devices/FPGA Addon/Scalars/Scalar Outputs/PWM.Set.IO109/TIMEOUT</v>
      </c>
      <c r="I574" s="33" t="str">
        <f>"IO" &amp; A571</f>
        <v>IO109</v>
      </c>
      <c r="J574" s="104"/>
      <c r="K574" s="104"/>
      <c r="L574" s="107"/>
      <c r="M574" s="92"/>
      <c r="N574" s="95"/>
    </row>
    <row r="575" spans="1:14" x14ac:dyDescent="0.45">
      <c r="A575" s="98"/>
      <c r="B575" s="101"/>
      <c r="C575" s="70" t="str">
        <f>"SLSC-12202-1/P" &amp; ROUNDDOWN(D575/8,0) &amp; "." &amp; MOD(D575,8)</f>
        <v>SLSC-12202-1/P1.4</v>
      </c>
      <c r="D575" s="30">
        <f t="shared" si="195"/>
        <v>12</v>
      </c>
      <c r="E575" s="30" t="str">
        <f t="shared" si="200"/>
        <v>Input</v>
      </c>
      <c r="F575" s="30" t="str">
        <f t="shared" si="200"/>
        <v>None</v>
      </c>
      <c r="G575" s="30" t="str">
        <f t="shared" si="180"/>
        <v>None</v>
      </c>
      <c r="H575" s="36" t="str">
        <f>Paths!$B$17 &amp; "port" &amp; ROUNDDOWN(D575/8,0) &amp; "//line" &amp;MOD(D575,8) &amp;"/Properties/NI.Line.Direction"</f>
        <v>Targets/Controller/Hardware/SLSC/SLSC Chassis/Modules/Slot 6 (SLSC EDS)/Physical Channels/port1//line4/Properties/NI.Line.Direction</v>
      </c>
      <c r="I575" s="33" t="str">
        <f>"IO" &amp; A571</f>
        <v>IO109</v>
      </c>
      <c r="J575" s="104"/>
      <c r="K575" s="104"/>
      <c r="L575" s="107"/>
      <c r="M575" s="92"/>
      <c r="N575" s="95"/>
    </row>
    <row r="576" spans="1:14" x14ac:dyDescent="0.45">
      <c r="A576" s="98"/>
      <c r="B576" s="101"/>
      <c r="C576" s="70" t="str">
        <f>"PXIe-6375/AI" &amp; D576</f>
        <v>PXIe-6375/AI100</v>
      </c>
      <c r="D576" s="30">
        <f t="shared" si="195"/>
        <v>100</v>
      </c>
      <c r="E576" s="56" t="str">
        <f t="shared" si="200"/>
        <v>Scaled current 0-8 A</v>
      </c>
      <c r="F576" s="30" t="str">
        <f t="shared" si="200"/>
        <v>TBD</v>
      </c>
      <c r="G576" s="30" t="str">
        <f t="shared" si="180"/>
        <v>None</v>
      </c>
      <c r="H576" s="41" t="str">
        <f>Paths!$B$27 &amp; I576 &amp; Paths!$B$29</f>
        <v>Targets/Controller/Calculated Channels/ATE/IO109/AI</v>
      </c>
      <c r="I576" s="33" t="str">
        <f>"IO" &amp; A571</f>
        <v>IO109</v>
      </c>
      <c r="J576" s="104"/>
      <c r="K576" s="104"/>
      <c r="L576" s="107"/>
      <c r="M576" s="92"/>
      <c r="N576" s="95"/>
    </row>
    <row r="577" spans="1:14" ht="14.65" thickBot="1" x14ac:dyDescent="0.5">
      <c r="A577" s="99"/>
      <c r="B577" s="102"/>
      <c r="C577" s="71" t="str">
        <f>"SLSC-12251-1/Ch" &amp; D577 &amp; "_DUT"</f>
        <v>SLSC-12251-1/Ch12_DUT</v>
      </c>
      <c r="D577" s="31">
        <f t="shared" si="195"/>
        <v>12</v>
      </c>
      <c r="E577" s="31" t="str">
        <f t="shared" si="200"/>
        <v>FIU</v>
      </c>
      <c r="F577" s="31" t="str">
        <f t="shared" si="200"/>
        <v>TBD</v>
      </c>
      <c r="G577" s="31" t="str">
        <f t="shared" ref="G577:G666" si="202">IF(OR(F577="None",F577="TBD"),"None",_xlfn.CONCAT("ATE/",I577,"/",F577))</f>
        <v>None</v>
      </c>
      <c r="H577" s="42" t="str">
        <f>Paths!$B$13 &amp; D577</f>
        <v>Targets/Controller/Hardware/SLSC/SLSC Chassis/Modules/Slot 1 (SLSC EDS :: SLSC-12251)/Physical Channels/Channel_12</v>
      </c>
      <c r="I577" s="59" t="str">
        <f>"IO" &amp; A571</f>
        <v>IO109</v>
      </c>
      <c r="J577" s="105"/>
      <c r="K577" s="105"/>
      <c r="L577" s="108"/>
      <c r="M577" s="93"/>
      <c r="N577" s="96"/>
    </row>
    <row r="578" spans="1:14" ht="15" customHeight="1" x14ac:dyDescent="0.45">
      <c r="A578" s="97">
        <f>A571+1</f>
        <v>110</v>
      </c>
      <c r="B578" s="100" t="str">
        <f>B571</f>
        <v>HIGH LOAD
DI: 0-60 V
AI: 0-60 V
EXT LOAD</v>
      </c>
      <c r="C578" s="69" t="str">
        <f>"PXIe-7820R/DIO" &amp; D578</f>
        <v>PXIe-7820R/DIO77</v>
      </c>
      <c r="D578" s="29">
        <f t="shared" si="195"/>
        <v>77</v>
      </c>
      <c r="E578" s="55" t="str">
        <f t="shared" si="200"/>
        <v>FPGA DI (PWM Meas.)</v>
      </c>
      <c r="F578" s="55" t="str">
        <f t="shared" si="200"/>
        <v>PWM_FR</v>
      </c>
      <c r="G578" s="29" t="str">
        <f t="shared" si="202"/>
        <v>ATE/IO110/PWM_FR</v>
      </c>
      <c r="H578" s="39" t="str">
        <f>Paths!$B$4 &amp; I578 &amp; Paths!$B$9</f>
        <v>Targets/Controller/Custom Devices/FPGA Addon/Scalars/Scalar Inputs/PWM.In.IO110/FREQ</v>
      </c>
      <c r="I578" s="32" t="str">
        <f>"IO" &amp; A578</f>
        <v>IO110</v>
      </c>
      <c r="J578" s="103" t="s">
        <v>6</v>
      </c>
      <c r="K578" s="103" t="s">
        <v>7</v>
      </c>
      <c r="L578" s="106"/>
      <c r="M578" s="91"/>
      <c r="N578" s="94"/>
    </row>
    <row r="579" spans="1:14" x14ac:dyDescent="0.45">
      <c r="A579" s="98"/>
      <c r="B579" s="101"/>
      <c r="C579" s="70" t="str">
        <f>"PXIe-7820R/DIO" &amp; D579</f>
        <v>PXIe-7820R/DIO77</v>
      </c>
      <c r="D579" s="30">
        <f t="shared" si="195"/>
        <v>77</v>
      </c>
      <c r="E579" s="30" t="str">
        <f t="shared" si="200"/>
        <v>FPGA DI (PWM Meas.)</v>
      </c>
      <c r="F579" s="30" t="str">
        <f t="shared" si="200"/>
        <v>PWM_DC</v>
      </c>
      <c r="G579" s="30" t="str">
        <f t="shared" si="202"/>
        <v>ATE/IO110/PWM_DC</v>
      </c>
      <c r="H579" s="40" t="str">
        <f>Paths!$B$4 &amp; I579 &amp; Paths!$B$10</f>
        <v>Targets/Controller/Custom Devices/FPGA Addon/Scalars/Scalar Inputs/PWM.In.IO110/DC</v>
      </c>
      <c r="I579" s="33" t="str">
        <f>"IO" &amp; A578</f>
        <v>IO110</v>
      </c>
      <c r="J579" s="104"/>
      <c r="K579" s="104"/>
      <c r="L579" s="107"/>
      <c r="M579" s="92"/>
      <c r="N579" s="95"/>
    </row>
    <row r="580" spans="1:14" x14ac:dyDescent="0.45">
      <c r="A580" s="98"/>
      <c r="B580" s="101"/>
      <c r="C580" s="70" t="str">
        <f>"PXIe-7820R/DIO" &amp; D580</f>
        <v>PXIe-7820R/DIO77</v>
      </c>
      <c r="D580" s="30">
        <f t="shared" si="195"/>
        <v>77</v>
      </c>
      <c r="E580" s="30" t="str">
        <f t="shared" si="200"/>
        <v>PFGA DI (DI State)</v>
      </c>
      <c r="F580" s="30" t="str">
        <f t="shared" si="200"/>
        <v>DI</v>
      </c>
      <c r="G580" s="30" t="str">
        <f t="shared" si="202"/>
        <v>ATE/IO110/DI</v>
      </c>
      <c r="H580" s="90" t="str">
        <f>Paths!$B$3 &amp; I580 &amp; Paths!$B$8</f>
        <v>Targets/Controller/Custom Devices/FPGA Addon/Scalars/Scalar Inputs/DI.IO110/STATE</v>
      </c>
      <c r="I580" s="33" t="str">
        <f>I579</f>
        <v>IO110</v>
      </c>
      <c r="J580" s="104"/>
      <c r="K580" s="104"/>
      <c r="L580" s="107"/>
      <c r="M580" s="92"/>
      <c r="N580" s="95"/>
    </row>
    <row r="581" spans="1:14" x14ac:dyDescent="0.45">
      <c r="A581" s="98"/>
      <c r="B581" s="101"/>
      <c r="C581" s="70" t="str">
        <f>"PXIe-7820R/DIO" &amp; D581</f>
        <v>PXIe-7820R/DIO77</v>
      </c>
      <c r="D581" s="30">
        <f t="shared" ref="D581:D602" si="203">D574+1</f>
        <v>77</v>
      </c>
      <c r="E581" s="30" t="str">
        <f t="shared" si="200"/>
        <v>FPGA DI (PWM Meas.)</v>
      </c>
      <c r="F581" s="30" t="str">
        <f t="shared" si="200"/>
        <v>PWM_TIMEOUT</v>
      </c>
      <c r="G581" s="30" t="str">
        <f t="shared" si="202"/>
        <v>ATE/IO110/PWM_TIMEOUT</v>
      </c>
      <c r="H581" s="40" t="str">
        <f>Paths!$B$5 &amp; I581 &amp; Paths!$B$11</f>
        <v>Targets/Controller/Custom Devices/FPGA Addon/Scalars/Scalar Outputs/PWM.Set.IO110/TIMEOUT</v>
      </c>
      <c r="I581" s="33" t="str">
        <f>"IO" &amp; A578</f>
        <v>IO110</v>
      </c>
      <c r="J581" s="104"/>
      <c r="K581" s="104"/>
      <c r="L581" s="107"/>
      <c r="M581" s="92"/>
      <c r="N581" s="95"/>
    </row>
    <row r="582" spans="1:14" x14ac:dyDescent="0.45">
      <c r="A582" s="98"/>
      <c r="B582" s="101"/>
      <c r="C582" s="70" t="str">
        <f>"SLSC-12202-1/P" &amp; ROUNDDOWN(D582/8,0) &amp; "." &amp; MOD(D582,8)</f>
        <v>SLSC-12202-1/P1.5</v>
      </c>
      <c r="D582" s="30">
        <f t="shared" si="203"/>
        <v>13</v>
      </c>
      <c r="E582" s="30" t="str">
        <f t="shared" si="200"/>
        <v>Input</v>
      </c>
      <c r="F582" s="30" t="str">
        <f t="shared" si="200"/>
        <v>None</v>
      </c>
      <c r="G582" s="30" t="str">
        <f t="shared" si="202"/>
        <v>None</v>
      </c>
      <c r="H582" s="36" t="str">
        <f>Paths!$B$17 &amp; "port" &amp; ROUNDDOWN(D582/8,0) &amp; "//line" &amp;MOD(D582,8) &amp;"/Properties/NI.Line.Direction"</f>
        <v>Targets/Controller/Hardware/SLSC/SLSC Chassis/Modules/Slot 6 (SLSC EDS)/Physical Channels/port1//line5/Properties/NI.Line.Direction</v>
      </c>
      <c r="I582" s="33" t="str">
        <f>"IO" &amp; A578</f>
        <v>IO110</v>
      </c>
      <c r="J582" s="104"/>
      <c r="K582" s="104"/>
      <c r="L582" s="107"/>
      <c r="M582" s="92"/>
      <c r="N582" s="95"/>
    </row>
    <row r="583" spans="1:14" x14ac:dyDescent="0.45">
      <c r="A583" s="98"/>
      <c r="B583" s="101"/>
      <c r="C583" s="70" t="str">
        <f>"PXIe-6375/AI" &amp; D583</f>
        <v>PXIe-6375/AI101</v>
      </c>
      <c r="D583" s="30">
        <f t="shared" si="203"/>
        <v>101</v>
      </c>
      <c r="E583" s="56" t="str">
        <f t="shared" si="200"/>
        <v>Scaled current 0-8 A</v>
      </c>
      <c r="F583" s="30" t="str">
        <f t="shared" si="200"/>
        <v>TBD</v>
      </c>
      <c r="G583" s="30" t="str">
        <f t="shared" si="202"/>
        <v>None</v>
      </c>
      <c r="H583" s="41" t="str">
        <f>Paths!$B$27 &amp; I583 &amp; Paths!$B$29</f>
        <v>Targets/Controller/Calculated Channels/ATE/IO110/AI</v>
      </c>
      <c r="I583" s="33" t="str">
        <f>"IO" &amp; A578</f>
        <v>IO110</v>
      </c>
      <c r="J583" s="104"/>
      <c r="K583" s="104"/>
      <c r="L583" s="107"/>
      <c r="M583" s="92"/>
      <c r="N583" s="95"/>
    </row>
    <row r="584" spans="1:14" ht="14.65" thickBot="1" x14ac:dyDescent="0.5">
      <c r="A584" s="99"/>
      <c r="B584" s="102"/>
      <c r="C584" s="71" t="str">
        <f>"SLSC-12251-1/Ch" &amp; D584 &amp; "_DUT"</f>
        <v>SLSC-12251-1/Ch13_DUT</v>
      </c>
      <c r="D584" s="31">
        <f t="shared" si="203"/>
        <v>13</v>
      </c>
      <c r="E584" s="31" t="str">
        <f t="shared" si="200"/>
        <v>FIU</v>
      </c>
      <c r="F584" s="31" t="str">
        <f t="shared" si="200"/>
        <v>TBD</v>
      </c>
      <c r="G584" s="31" t="str">
        <f t="shared" si="202"/>
        <v>None</v>
      </c>
      <c r="H584" s="42" t="str">
        <f>Paths!$B$13 &amp; D584</f>
        <v>Targets/Controller/Hardware/SLSC/SLSC Chassis/Modules/Slot 1 (SLSC EDS :: SLSC-12251)/Physical Channels/Channel_13</v>
      </c>
      <c r="I584" s="59" t="str">
        <f>"IO" &amp; A578</f>
        <v>IO110</v>
      </c>
      <c r="J584" s="105"/>
      <c r="K584" s="105"/>
      <c r="L584" s="108"/>
      <c r="M584" s="93"/>
      <c r="N584" s="96"/>
    </row>
    <row r="585" spans="1:14" ht="15" customHeight="1" x14ac:dyDescent="0.45">
      <c r="A585" s="97">
        <f>A578+1</f>
        <v>111</v>
      </c>
      <c r="B585" s="100" t="str">
        <f>B578</f>
        <v>HIGH LOAD
DI: 0-60 V
AI: 0-60 V
EXT LOAD</v>
      </c>
      <c r="C585" s="69" t="str">
        <f>"PXIe-7820R/DIO" &amp; D585</f>
        <v>PXIe-7820R/DIO78</v>
      </c>
      <c r="D585" s="29">
        <f t="shared" si="203"/>
        <v>78</v>
      </c>
      <c r="E585" s="55" t="str">
        <f t="shared" si="200"/>
        <v>FPGA DI (PWM Meas.)</v>
      </c>
      <c r="F585" s="55" t="str">
        <f t="shared" si="200"/>
        <v>PWM_FR</v>
      </c>
      <c r="G585" s="29" t="str">
        <f t="shared" si="202"/>
        <v>ATE/IO111/PWM_FR</v>
      </c>
      <c r="H585" s="39" t="str">
        <f>Paths!$B$4 &amp; I585 &amp; Paths!$B$9</f>
        <v>Targets/Controller/Custom Devices/FPGA Addon/Scalars/Scalar Inputs/PWM.In.IO111/FREQ</v>
      </c>
      <c r="I585" s="32" t="str">
        <f>"IO" &amp; A585</f>
        <v>IO111</v>
      </c>
      <c r="J585" s="103" t="s">
        <v>6</v>
      </c>
      <c r="K585" s="103" t="s">
        <v>7</v>
      </c>
      <c r="L585" s="106"/>
      <c r="M585" s="91"/>
      <c r="N585" s="94"/>
    </row>
    <row r="586" spans="1:14" x14ac:dyDescent="0.45">
      <c r="A586" s="98"/>
      <c r="B586" s="101"/>
      <c r="C586" s="70" t="str">
        <f>"PXIe-7820R/DIO" &amp; D586</f>
        <v>PXIe-7820R/DIO78</v>
      </c>
      <c r="D586" s="30">
        <f t="shared" si="203"/>
        <v>78</v>
      </c>
      <c r="E586" s="30" t="str">
        <f t="shared" si="200"/>
        <v>FPGA DI (PWM Meas.)</v>
      </c>
      <c r="F586" s="30" t="str">
        <f t="shared" si="200"/>
        <v>PWM_DC</v>
      </c>
      <c r="G586" s="30" t="str">
        <f t="shared" si="202"/>
        <v>ATE/IO111/PWM_DC</v>
      </c>
      <c r="H586" s="40" t="str">
        <f>Paths!$B$4 &amp; I586 &amp; Paths!$B$10</f>
        <v>Targets/Controller/Custom Devices/FPGA Addon/Scalars/Scalar Inputs/PWM.In.IO111/DC</v>
      </c>
      <c r="I586" s="33" t="str">
        <f>"IO" &amp; A585</f>
        <v>IO111</v>
      </c>
      <c r="J586" s="104"/>
      <c r="K586" s="104"/>
      <c r="L586" s="107"/>
      <c r="M586" s="92"/>
      <c r="N586" s="95"/>
    </row>
    <row r="587" spans="1:14" x14ac:dyDescent="0.45">
      <c r="A587" s="98"/>
      <c r="B587" s="101"/>
      <c r="C587" s="70" t="str">
        <f>"PXIe-7820R/DIO" &amp; D587</f>
        <v>PXIe-7820R/DIO78</v>
      </c>
      <c r="D587" s="30">
        <f t="shared" si="203"/>
        <v>78</v>
      </c>
      <c r="E587" s="30" t="str">
        <f t="shared" si="200"/>
        <v>PFGA DI (DI State)</v>
      </c>
      <c r="F587" s="30" t="str">
        <f t="shared" si="200"/>
        <v>DI</v>
      </c>
      <c r="G587" s="30" t="str">
        <f t="shared" si="202"/>
        <v>ATE/IO111/DI</v>
      </c>
      <c r="H587" s="90" t="str">
        <f>Paths!$B$3 &amp; I587 &amp; Paths!$B$8</f>
        <v>Targets/Controller/Custom Devices/FPGA Addon/Scalars/Scalar Inputs/DI.IO111/STATE</v>
      </c>
      <c r="I587" s="33" t="str">
        <f>I586</f>
        <v>IO111</v>
      </c>
      <c r="J587" s="104"/>
      <c r="K587" s="104"/>
      <c r="L587" s="107"/>
      <c r="M587" s="92"/>
      <c r="N587" s="95"/>
    </row>
    <row r="588" spans="1:14" x14ac:dyDescent="0.45">
      <c r="A588" s="98"/>
      <c r="B588" s="101"/>
      <c r="C588" s="70" t="str">
        <f>"PXIe-7820R/DIO" &amp; D588</f>
        <v>PXIe-7820R/DIO78</v>
      </c>
      <c r="D588" s="30">
        <f t="shared" si="203"/>
        <v>78</v>
      </c>
      <c r="E588" s="30" t="str">
        <f t="shared" si="200"/>
        <v>FPGA DI (PWM Meas.)</v>
      </c>
      <c r="F588" s="30" t="str">
        <f t="shared" si="200"/>
        <v>PWM_TIMEOUT</v>
      </c>
      <c r="G588" s="30" t="str">
        <f t="shared" si="202"/>
        <v>ATE/IO111/PWM_TIMEOUT</v>
      </c>
      <c r="H588" s="40" t="str">
        <f>Paths!$B$5 &amp; I588 &amp; Paths!$B$11</f>
        <v>Targets/Controller/Custom Devices/FPGA Addon/Scalars/Scalar Outputs/PWM.Set.IO111/TIMEOUT</v>
      </c>
      <c r="I588" s="33" t="str">
        <f>"IO" &amp; A585</f>
        <v>IO111</v>
      </c>
      <c r="J588" s="104"/>
      <c r="K588" s="104"/>
      <c r="L588" s="107"/>
      <c r="M588" s="92"/>
      <c r="N588" s="95"/>
    </row>
    <row r="589" spans="1:14" x14ac:dyDescent="0.45">
      <c r="A589" s="98"/>
      <c r="B589" s="101"/>
      <c r="C589" s="70" t="str">
        <f>"SLSC-12202-1/P" &amp; ROUNDDOWN(D589/8,0) &amp; "." &amp; MOD(D589,8)</f>
        <v>SLSC-12202-1/P1.6</v>
      </c>
      <c r="D589" s="30">
        <f t="shared" si="203"/>
        <v>14</v>
      </c>
      <c r="E589" s="30" t="str">
        <f t="shared" si="200"/>
        <v>Input</v>
      </c>
      <c r="F589" s="30" t="str">
        <f t="shared" si="200"/>
        <v>None</v>
      </c>
      <c r="G589" s="30" t="str">
        <f t="shared" si="202"/>
        <v>None</v>
      </c>
      <c r="H589" s="36" t="str">
        <f>Paths!$B$17 &amp; "port" &amp; ROUNDDOWN(D589/8,0) &amp; "//line" &amp;MOD(D589,8) &amp;"/Properties/NI.Line.Direction"</f>
        <v>Targets/Controller/Hardware/SLSC/SLSC Chassis/Modules/Slot 6 (SLSC EDS)/Physical Channels/port1//line6/Properties/NI.Line.Direction</v>
      </c>
      <c r="I589" s="33" t="str">
        <f>"IO" &amp; A585</f>
        <v>IO111</v>
      </c>
      <c r="J589" s="104"/>
      <c r="K589" s="104"/>
      <c r="L589" s="107"/>
      <c r="M589" s="92"/>
      <c r="N589" s="95"/>
    </row>
    <row r="590" spans="1:14" x14ac:dyDescent="0.45">
      <c r="A590" s="98"/>
      <c r="B590" s="101"/>
      <c r="C590" s="70" t="str">
        <f>"PXIe-6375/AI" &amp; D590</f>
        <v>PXIe-6375/AI102</v>
      </c>
      <c r="D590" s="30">
        <f t="shared" si="203"/>
        <v>102</v>
      </c>
      <c r="E590" s="56" t="str">
        <f t="shared" si="200"/>
        <v>Scaled current 0-8 A</v>
      </c>
      <c r="F590" s="30" t="str">
        <f t="shared" si="200"/>
        <v>TBD</v>
      </c>
      <c r="G590" s="30" t="str">
        <f t="shared" si="202"/>
        <v>None</v>
      </c>
      <c r="H590" s="41" t="str">
        <f>Paths!$B$27 &amp; I590 &amp; Paths!$B$29</f>
        <v>Targets/Controller/Calculated Channels/ATE/IO111/AI</v>
      </c>
      <c r="I590" s="33" t="str">
        <f>"IO" &amp; A585</f>
        <v>IO111</v>
      </c>
      <c r="J590" s="104"/>
      <c r="K590" s="104"/>
      <c r="L590" s="107"/>
      <c r="M590" s="92"/>
      <c r="N590" s="95"/>
    </row>
    <row r="591" spans="1:14" ht="14.65" thickBot="1" x14ac:dyDescent="0.5">
      <c r="A591" s="99"/>
      <c r="B591" s="102"/>
      <c r="C591" s="71" t="str">
        <f>"SLSC-12251-1/Ch" &amp; D591 &amp; "_DUT"</f>
        <v>SLSC-12251-1/Ch14_DUT</v>
      </c>
      <c r="D591" s="31">
        <f t="shared" si="203"/>
        <v>14</v>
      </c>
      <c r="E591" s="31" t="str">
        <f t="shared" si="200"/>
        <v>FIU</v>
      </c>
      <c r="F591" s="31" t="str">
        <f t="shared" si="200"/>
        <v>TBD</v>
      </c>
      <c r="G591" s="31" t="str">
        <f t="shared" si="202"/>
        <v>None</v>
      </c>
      <c r="H591" s="42" t="str">
        <f>Paths!$B$13 &amp; D591</f>
        <v>Targets/Controller/Hardware/SLSC/SLSC Chassis/Modules/Slot 1 (SLSC EDS :: SLSC-12251)/Physical Channels/Channel_14</v>
      </c>
      <c r="I591" s="59" t="str">
        <f>"IO" &amp; A585</f>
        <v>IO111</v>
      </c>
      <c r="J591" s="105"/>
      <c r="K591" s="105"/>
      <c r="L591" s="108"/>
      <c r="M591" s="93"/>
      <c r="N591" s="96"/>
    </row>
    <row r="592" spans="1:14" ht="15" customHeight="1" x14ac:dyDescent="0.45">
      <c r="A592" s="97">
        <f>A585+1</f>
        <v>112</v>
      </c>
      <c r="B592" s="100" t="str">
        <f>B585</f>
        <v>HIGH LOAD
DI: 0-60 V
AI: 0-60 V
EXT LOAD</v>
      </c>
      <c r="C592" s="69" t="str">
        <f>"PXIe-7820R/DIO" &amp; D592</f>
        <v>PXIe-7820R/DIO79</v>
      </c>
      <c r="D592" s="29">
        <f t="shared" si="203"/>
        <v>79</v>
      </c>
      <c r="E592" s="55" t="str">
        <f t="shared" si="200"/>
        <v>FPGA DI (PWM Meas.)</v>
      </c>
      <c r="F592" s="55" t="str">
        <f t="shared" si="200"/>
        <v>PWM_FR</v>
      </c>
      <c r="G592" s="29" t="str">
        <f t="shared" si="202"/>
        <v>ATE/IO112/PWM_FR</v>
      </c>
      <c r="H592" s="39" t="str">
        <f>Paths!$B$4 &amp; I592 &amp; Paths!$B$9</f>
        <v>Targets/Controller/Custom Devices/FPGA Addon/Scalars/Scalar Inputs/PWM.In.IO112/FREQ</v>
      </c>
      <c r="I592" s="32" t="str">
        <f>"IO" &amp; A592</f>
        <v>IO112</v>
      </c>
      <c r="J592" s="103" t="s">
        <v>6</v>
      </c>
      <c r="K592" s="103" t="s">
        <v>7</v>
      </c>
      <c r="L592" s="106"/>
      <c r="M592" s="91"/>
      <c r="N592" s="94"/>
    </row>
    <row r="593" spans="1:14" x14ac:dyDescent="0.45">
      <c r="A593" s="98"/>
      <c r="B593" s="101"/>
      <c r="C593" s="70" t="str">
        <f>"PXIe-7820R/DIO" &amp; D593</f>
        <v>PXIe-7820R/DIO79</v>
      </c>
      <c r="D593" s="30">
        <f t="shared" si="203"/>
        <v>79</v>
      </c>
      <c r="E593" s="30" t="str">
        <f t="shared" si="200"/>
        <v>FPGA DI (PWM Meas.)</v>
      </c>
      <c r="F593" s="30" t="str">
        <f t="shared" si="200"/>
        <v>PWM_DC</v>
      </c>
      <c r="G593" s="30" t="str">
        <f t="shared" si="202"/>
        <v>ATE/IO112/PWM_DC</v>
      </c>
      <c r="H593" s="40" t="str">
        <f>Paths!$B$4 &amp; I593 &amp; Paths!$B$10</f>
        <v>Targets/Controller/Custom Devices/FPGA Addon/Scalars/Scalar Inputs/PWM.In.IO112/DC</v>
      </c>
      <c r="I593" s="33" t="str">
        <f>"IO" &amp; A592</f>
        <v>IO112</v>
      </c>
      <c r="J593" s="104"/>
      <c r="K593" s="104"/>
      <c r="L593" s="107"/>
      <c r="M593" s="92"/>
      <c r="N593" s="95"/>
    </row>
    <row r="594" spans="1:14" x14ac:dyDescent="0.45">
      <c r="A594" s="98"/>
      <c r="B594" s="101"/>
      <c r="C594" s="70" t="str">
        <f>"PXIe-7820R/DIO" &amp; D594</f>
        <v>PXIe-7820R/DIO79</v>
      </c>
      <c r="D594" s="30">
        <f t="shared" si="203"/>
        <v>79</v>
      </c>
      <c r="E594" s="30" t="str">
        <f t="shared" ref="E594:F613" si="204">E587</f>
        <v>PFGA DI (DI State)</v>
      </c>
      <c r="F594" s="30" t="str">
        <f t="shared" si="204"/>
        <v>DI</v>
      </c>
      <c r="G594" s="30" t="str">
        <f t="shared" si="202"/>
        <v>ATE/IO112/DI</v>
      </c>
      <c r="H594" s="90" t="str">
        <f>Paths!$B$3 &amp; I594 &amp; Paths!$B$8</f>
        <v>Targets/Controller/Custom Devices/FPGA Addon/Scalars/Scalar Inputs/DI.IO112/STATE</v>
      </c>
      <c r="I594" s="33" t="str">
        <f>I593</f>
        <v>IO112</v>
      </c>
      <c r="J594" s="104"/>
      <c r="K594" s="104"/>
      <c r="L594" s="107"/>
      <c r="M594" s="92"/>
      <c r="N594" s="95"/>
    </row>
    <row r="595" spans="1:14" x14ac:dyDescent="0.45">
      <c r="A595" s="98"/>
      <c r="B595" s="101"/>
      <c r="C595" s="70" t="str">
        <f>"PXIe-7820R/DIO" &amp; D595</f>
        <v>PXIe-7820R/DIO79</v>
      </c>
      <c r="D595" s="30">
        <f t="shared" si="203"/>
        <v>79</v>
      </c>
      <c r="E595" s="30" t="str">
        <f t="shared" si="204"/>
        <v>FPGA DI (PWM Meas.)</v>
      </c>
      <c r="F595" s="30" t="str">
        <f t="shared" si="204"/>
        <v>PWM_TIMEOUT</v>
      </c>
      <c r="G595" s="30" t="str">
        <f t="shared" si="202"/>
        <v>ATE/IO112/PWM_TIMEOUT</v>
      </c>
      <c r="H595" s="40" t="str">
        <f>Paths!$B$5 &amp; I595 &amp; Paths!$B$11</f>
        <v>Targets/Controller/Custom Devices/FPGA Addon/Scalars/Scalar Outputs/PWM.Set.IO112/TIMEOUT</v>
      </c>
      <c r="I595" s="33" t="str">
        <f>"IO" &amp; A592</f>
        <v>IO112</v>
      </c>
      <c r="J595" s="104"/>
      <c r="K595" s="104"/>
      <c r="L595" s="107"/>
      <c r="M595" s="92"/>
      <c r="N595" s="95"/>
    </row>
    <row r="596" spans="1:14" x14ac:dyDescent="0.45">
      <c r="A596" s="98"/>
      <c r="B596" s="101"/>
      <c r="C596" s="70" t="str">
        <f>"SLSC-12202-1/P" &amp; ROUNDDOWN(D596/8,0) &amp; "." &amp; MOD(D596,8)</f>
        <v>SLSC-12202-1/P1.7</v>
      </c>
      <c r="D596" s="30">
        <f t="shared" si="203"/>
        <v>15</v>
      </c>
      <c r="E596" s="30" t="str">
        <f t="shared" si="204"/>
        <v>Input</v>
      </c>
      <c r="F596" s="30" t="str">
        <f t="shared" si="204"/>
        <v>None</v>
      </c>
      <c r="G596" s="30" t="str">
        <f t="shared" si="202"/>
        <v>None</v>
      </c>
      <c r="H596" s="36" t="str">
        <f>Paths!$B$17 &amp; "port" &amp; ROUNDDOWN(D596/8,0) &amp; "//line" &amp;MOD(D596,8) &amp;"/Properties/NI.Line.Direction"</f>
        <v>Targets/Controller/Hardware/SLSC/SLSC Chassis/Modules/Slot 6 (SLSC EDS)/Physical Channels/port1//line7/Properties/NI.Line.Direction</v>
      </c>
      <c r="I596" s="33" t="str">
        <f>"IO" &amp; A592</f>
        <v>IO112</v>
      </c>
      <c r="J596" s="104"/>
      <c r="K596" s="104"/>
      <c r="L596" s="107"/>
      <c r="M596" s="92"/>
      <c r="N596" s="95"/>
    </row>
    <row r="597" spans="1:14" x14ac:dyDescent="0.45">
      <c r="A597" s="98"/>
      <c r="B597" s="101"/>
      <c r="C597" s="70" t="str">
        <f>"PXIe-6375/AI" &amp; D597</f>
        <v>PXIe-6375/AI103</v>
      </c>
      <c r="D597" s="30">
        <f t="shared" si="203"/>
        <v>103</v>
      </c>
      <c r="E597" s="56" t="str">
        <f t="shared" si="204"/>
        <v>Scaled current 0-8 A</v>
      </c>
      <c r="F597" s="30" t="str">
        <f t="shared" si="204"/>
        <v>TBD</v>
      </c>
      <c r="G597" s="30" t="str">
        <f t="shared" si="202"/>
        <v>None</v>
      </c>
      <c r="H597" s="41" t="str">
        <f>Paths!$B$27 &amp; I597 &amp; Paths!$B$29</f>
        <v>Targets/Controller/Calculated Channels/ATE/IO112/AI</v>
      </c>
      <c r="I597" s="33" t="str">
        <f>"IO" &amp; A592</f>
        <v>IO112</v>
      </c>
      <c r="J597" s="104"/>
      <c r="K597" s="104"/>
      <c r="L597" s="107"/>
      <c r="M597" s="92"/>
      <c r="N597" s="95"/>
    </row>
    <row r="598" spans="1:14" ht="14.65" thickBot="1" x14ac:dyDescent="0.5">
      <c r="A598" s="99"/>
      <c r="B598" s="102"/>
      <c r="C598" s="71" t="str">
        <f>"SLSC-12251-1/Ch" &amp; D598 &amp; "_DUT"</f>
        <v>SLSC-12251-1/Ch15_DUT</v>
      </c>
      <c r="D598" s="31">
        <f t="shared" si="203"/>
        <v>15</v>
      </c>
      <c r="E598" s="31" t="str">
        <f t="shared" si="204"/>
        <v>FIU</v>
      </c>
      <c r="F598" s="31" t="str">
        <f t="shared" si="204"/>
        <v>TBD</v>
      </c>
      <c r="G598" s="31" t="str">
        <f t="shared" si="202"/>
        <v>None</v>
      </c>
      <c r="H598" s="42" t="str">
        <f>Paths!$B$13 &amp; D598</f>
        <v>Targets/Controller/Hardware/SLSC/SLSC Chassis/Modules/Slot 1 (SLSC EDS :: SLSC-12251)/Physical Channels/Channel_15</v>
      </c>
      <c r="I598" s="59" t="str">
        <f>"IO" &amp; A592</f>
        <v>IO112</v>
      </c>
      <c r="J598" s="105"/>
      <c r="K598" s="105"/>
      <c r="L598" s="108"/>
      <c r="M598" s="93"/>
      <c r="N598" s="96"/>
    </row>
    <row r="599" spans="1:14" ht="15" customHeight="1" x14ac:dyDescent="0.45">
      <c r="A599" s="97">
        <f>A592+1</f>
        <v>113</v>
      </c>
      <c r="B599" s="100" t="str">
        <f>B592</f>
        <v>HIGH LOAD
DI: 0-60 V
AI: 0-60 V
EXT LOAD</v>
      </c>
      <c r="C599" s="69" t="str">
        <f>"PXIe-7820R/DIO" &amp; D599</f>
        <v>PXIe-7820R/DIO80</v>
      </c>
      <c r="D599" s="29">
        <f t="shared" si="203"/>
        <v>80</v>
      </c>
      <c r="E599" s="55" t="str">
        <f t="shared" si="204"/>
        <v>FPGA DI (PWM Meas.)</v>
      </c>
      <c r="F599" s="55" t="str">
        <f t="shared" si="204"/>
        <v>PWM_FR</v>
      </c>
      <c r="G599" s="29" t="str">
        <f t="shared" si="202"/>
        <v>ATE/IO113/PWM_FR</v>
      </c>
      <c r="H599" s="39" t="str">
        <f>Paths!$B$4 &amp; I599 &amp; Paths!$B$9</f>
        <v>Targets/Controller/Custom Devices/FPGA Addon/Scalars/Scalar Inputs/PWM.In.IO113/FREQ</v>
      </c>
      <c r="I599" s="32" t="str">
        <f>"IO" &amp; A599</f>
        <v>IO113</v>
      </c>
      <c r="J599" s="103" t="s">
        <v>6</v>
      </c>
      <c r="K599" s="103" t="s">
        <v>7</v>
      </c>
      <c r="L599" s="128"/>
      <c r="M599" s="131"/>
      <c r="N599" s="134"/>
    </row>
    <row r="600" spans="1:14" x14ac:dyDescent="0.45">
      <c r="A600" s="98"/>
      <c r="B600" s="126"/>
      <c r="C600" s="70" t="str">
        <f>"PXIe-7820R/DIO" &amp; D600</f>
        <v>PXIe-7820R/DIO80</v>
      </c>
      <c r="D600" s="30">
        <f t="shared" si="203"/>
        <v>80</v>
      </c>
      <c r="E600" s="30" t="str">
        <f t="shared" si="204"/>
        <v>FPGA DI (PWM Meas.)</v>
      </c>
      <c r="F600" s="30" t="str">
        <f t="shared" si="204"/>
        <v>PWM_DC</v>
      </c>
      <c r="G600" s="30" t="str">
        <f t="shared" si="202"/>
        <v>ATE/IO113/PWM_DC</v>
      </c>
      <c r="H600" s="40" t="str">
        <f>Paths!$B$4 &amp; I600 &amp; Paths!$B$10</f>
        <v>Targets/Controller/Custom Devices/FPGA Addon/Scalars/Scalar Inputs/PWM.In.IO113/DC</v>
      </c>
      <c r="I600" s="33" t="str">
        <f>"IO" &amp; A599</f>
        <v>IO113</v>
      </c>
      <c r="J600" s="104"/>
      <c r="K600" s="104"/>
      <c r="L600" s="129"/>
      <c r="M600" s="132"/>
      <c r="N600" s="135"/>
    </row>
    <row r="601" spans="1:14" x14ac:dyDescent="0.45">
      <c r="A601" s="98"/>
      <c r="B601" s="126"/>
      <c r="C601" s="70" t="str">
        <f>"PXIe-7820R/DIO" &amp; D601</f>
        <v>PXIe-7820R/DIO80</v>
      </c>
      <c r="D601" s="30">
        <f t="shared" si="203"/>
        <v>80</v>
      </c>
      <c r="E601" s="30" t="str">
        <f t="shared" si="204"/>
        <v>PFGA DI (DI State)</v>
      </c>
      <c r="F601" s="30" t="str">
        <f t="shared" si="204"/>
        <v>DI</v>
      </c>
      <c r="G601" s="30" t="str">
        <f t="shared" si="202"/>
        <v>ATE/IO113/DI</v>
      </c>
      <c r="H601" s="90" t="str">
        <f>Paths!$B$3 &amp; I601 &amp; Paths!$B$8</f>
        <v>Targets/Controller/Custom Devices/FPGA Addon/Scalars/Scalar Inputs/DI.IO113/STATE</v>
      </c>
      <c r="I601" s="33" t="str">
        <f>I600</f>
        <v>IO113</v>
      </c>
      <c r="J601" s="104"/>
      <c r="K601" s="104"/>
      <c r="L601" s="129"/>
      <c r="M601" s="132"/>
      <c r="N601" s="135"/>
    </row>
    <row r="602" spans="1:14" x14ac:dyDescent="0.45">
      <c r="A602" s="98"/>
      <c r="B602" s="126"/>
      <c r="C602" s="70" t="str">
        <f>"PXIe-7820R/DIO" &amp; D602</f>
        <v>PXIe-7820R/DIO80</v>
      </c>
      <c r="D602" s="30">
        <f t="shared" si="203"/>
        <v>80</v>
      </c>
      <c r="E602" s="30" t="str">
        <f t="shared" si="204"/>
        <v>FPGA DI (PWM Meas.)</v>
      </c>
      <c r="F602" s="30" t="str">
        <f t="shared" si="204"/>
        <v>PWM_TIMEOUT</v>
      </c>
      <c r="G602" s="30" t="str">
        <f t="shared" si="202"/>
        <v>ATE/IO113/PWM_TIMEOUT</v>
      </c>
      <c r="H602" s="40" t="str">
        <f>Paths!$B$5 &amp; I602 &amp; Paths!$B$11</f>
        <v>Targets/Controller/Custom Devices/FPGA Addon/Scalars/Scalar Outputs/PWM.Set.IO113/TIMEOUT</v>
      </c>
      <c r="I602" s="33" t="str">
        <f>"IO" &amp; A599</f>
        <v>IO113</v>
      </c>
      <c r="J602" s="104"/>
      <c r="K602" s="104"/>
      <c r="L602" s="129"/>
      <c r="M602" s="132"/>
      <c r="N602" s="135"/>
    </row>
    <row r="603" spans="1:14" x14ac:dyDescent="0.45">
      <c r="A603" s="98"/>
      <c r="B603" s="126"/>
      <c r="C603" s="70" t="str">
        <f>"SLSC-12202-2/P" &amp; ROUNDDOWN(D603/8,0) &amp; "." &amp; MOD(D603,8)</f>
        <v>SLSC-12202-2/P2.0</v>
      </c>
      <c r="D603" s="30">
        <f t="shared" ref="D603" si="205">D596+1</f>
        <v>16</v>
      </c>
      <c r="E603" s="30" t="str">
        <f t="shared" si="204"/>
        <v>Input</v>
      </c>
      <c r="F603" s="30" t="str">
        <f t="shared" si="204"/>
        <v>None</v>
      </c>
      <c r="G603" s="30" t="str">
        <f t="shared" si="202"/>
        <v>None</v>
      </c>
      <c r="H603" s="36" t="str">
        <f>Paths!$B$17 &amp; "port" &amp; ROUNDDOWN(D603/8,0) &amp; "//line" &amp;MOD(D603,8) &amp;"/Properties/NI.Line.Direction"</f>
        <v>Targets/Controller/Hardware/SLSC/SLSC Chassis/Modules/Slot 6 (SLSC EDS)/Physical Channels/port2//line0/Properties/NI.Line.Direction</v>
      </c>
      <c r="I603" s="33" t="str">
        <f>"IO" &amp; A599</f>
        <v>IO113</v>
      </c>
      <c r="J603" s="104"/>
      <c r="K603" s="104"/>
      <c r="L603" s="129"/>
      <c r="M603" s="132"/>
      <c r="N603" s="135"/>
    </row>
    <row r="604" spans="1:14" x14ac:dyDescent="0.45">
      <c r="A604" s="98"/>
      <c r="B604" s="126"/>
      <c r="C604" s="70" t="str">
        <f>"PXIe-6375/AI" &amp; D604</f>
        <v>PXIe-6375/AI112</v>
      </c>
      <c r="D604" s="45">
        <v>112</v>
      </c>
      <c r="E604" s="56" t="str">
        <f t="shared" si="204"/>
        <v>Scaled current 0-8 A</v>
      </c>
      <c r="F604" s="30" t="str">
        <f t="shared" si="204"/>
        <v>TBD</v>
      </c>
      <c r="G604" s="30" t="str">
        <f t="shared" si="202"/>
        <v>None</v>
      </c>
      <c r="H604" s="41" t="str">
        <f>Paths!$B$27 &amp; I604 &amp; Paths!$B$29</f>
        <v>Targets/Controller/Calculated Channels/ATE/IO113/AI</v>
      </c>
      <c r="I604" s="33" t="str">
        <f>"IO" &amp; A599</f>
        <v>IO113</v>
      </c>
      <c r="J604" s="104"/>
      <c r="K604" s="104"/>
      <c r="L604" s="129"/>
      <c r="M604" s="132"/>
      <c r="N604" s="135"/>
    </row>
    <row r="605" spans="1:14" ht="14.65" thickBot="1" x14ac:dyDescent="0.5">
      <c r="A605" s="99"/>
      <c r="B605" s="127"/>
      <c r="C605" s="71" t="str">
        <f>"SLSC-12251-1/Ch" &amp; D605 &amp; "_DUT"</f>
        <v>SLSC-12251-1/Ch0_DUT</v>
      </c>
      <c r="D605" s="46">
        <v>0</v>
      </c>
      <c r="E605" s="31" t="str">
        <f t="shared" si="204"/>
        <v>FIU</v>
      </c>
      <c r="F605" s="31" t="str">
        <f t="shared" si="204"/>
        <v>TBD</v>
      </c>
      <c r="G605" s="31" t="str">
        <f t="shared" si="202"/>
        <v>None</v>
      </c>
      <c r="H605" s="42" t="str">
        <f>Paths!$B$14 &amp; D605</f>
        <v>Targets/Controller/Hardware/SLSC/SLSC Chassis/Modules/Slot 2 (SLSC EDS :: SLSC-12251)/Physical Channels/Channel_0</v>
      </c>
      <c r="I605" s="59" t="str">
        <f>"IO" &amp; A599</f>
        <v>IO113</v>
      </c>
      <c r="J605" s="105"/>
      <c r="K605" s="105"/>
      <c r="L605" s="130"/>
      <c r="M605" s="133"/>
      <c r="N605" s="136"/>
    </row>
    <row r="606" spans="1:14" ht="15" customHeight="1" x14ac:dyDescent="0.45">
      <c r="A606" s="97">
        <f>A599+1</f>
        <v>114</v>
      </c>
      <c r="B606" s="100" t="str">
        <f>B599</f>
        <v>HIGH LOAD
DI: 0-60 V
AI: 0-60 V
EXT LOAD</v>
      </c>
      <c r="C606" s="69" t="str">
        <f>"PXIe-7820R/DIO" &amp; D606</f>
        <v>PXIe-7820R/DIO81</v>
      </c>
      <c r="D606" s="29">
        <f t="shared" ref="D606:D637" si="206">D599+1</f>
        <v>81</v>
      </c>
      <c r="E606" s="55" t="str">
        <f t="shared" si="204"/>
        <v>FPGA DI (PWM Meas.)</v>
      </c>
      <c r="F606" s="55" t="str">
        <f t="shared" si="204"/>
        <v>PWM_FR</v>
      </c>
      <c r="G606" s="29" t="str">
        <f t="shared" si="202"/>
        <v>ATE/IO114/PWM_FR</v>
      </c>
      <c r="H606" s="39" t="str">
        <f>Paths!$B$4 &amp; I606 &amp; Paths!$B$9</f>
        <v>Targets/Controller/Custom Devices/FPGA Addon/Scalars/Scalar Inputs/PWM.In.IO114/FREQ</v>
      </c>
      <c r="I606" s="32" t="str">
        <f>"IO" &amp; A606</f>
        <v>IO114</v>
      </c>
      <c r="J606" s="103" t="s">
        <v>6</v>
      </c>
      <c r="K606" s="103" t="s">
        <v>7</v>
      </c>
      <c r="L606" s="106"/>
      <c r="M606" s="91"/>
      <c r="N606" s="94"/>
    </row>
    <row r="607" spans="1:14" x14ac:dyDescent="0.45">
      <c r="A607" s="98"/>
      <c r="B607" s="101"/>
      <c r="C607" s="70" t="str">
        <f>"PXIe-7820R/DIO" &amp; D607</f>
        <v>PXIe-7820R/DIO81</v>
      </c>
      <c r="D607" s="30">
        <f t="shared" si="206"/>
        <v>81</v>
      </c>
      <c r="E607" s="30" t="str">
        <f t="shared" si="204"/>
        <v>FPGA DI (PWM Meas.)</v>
      </c>
      <c r="F607" s="30" t="str">
        <f t="shared" si="204"/>
        <v>PWM_DC</v>
      </c>
      <c r="G607" s="30" t="str">
        <f t="shared" si="202"/>
        <v>ATE/IO114/PWM_DC</v>
      </c>
      <c r="H607" s="40" t="str">
        <f>Paths!$B$4 &amp; I607 &amp; Paths!$B$10</f>
        <v>Targets/Controller/Custom Devices/FPGA Addon/Scalars/Scalar Inputs/PWM.In.IO114/DC</v>
      </c>
      <c r="I607" s="33" t="str">
        <f>"IO" &amp; A606</f>
        <v>IO114</v>
      </c>
      <c r="J607" s="104"/>
      <c r="K607" s="104"/>
      <c r="L607" s="107"/>
      <c r="M607" s="92"/>
      <c r="N607" s="95"/>
    </row>
    <row r="608" spans="1:14" x14ac:dyDescent="0.45">
      <c r="A608" s="98"/>
      <c r="B608" s="101"/>
      <c r="C608" s="70" t="str">
        <f>"PXIe-7820R/DIO" &amp; D608</f>
        <v>PXIe-7820R/DIO81</v>
      </c>
      <c r="D608" s="30">
        <f t="shared" si="206"/>
        <v>81</v>
      </c>
      <c r="E608" s="30" t="str">
        <f t="shared" si="204"/>
        <v>PFGA DI (DI State)</v>
      </c>
      <c r="F608" s="30" t="str">
        <f t="shared" si="204"/>
        <v>DI</v>
      </c>
      <c r="G608" s="30" t="str">
        <f t="shared" si="202"/>
        <v>ATE/IO114/DI</v>
      </c>
      <c r="H608" s="90" t="str">
        <f>Paths!$B$3 &amp; I608 &amp; Paths!$B$8</f>
        <v>Targets/Controller/Custom Devices/FPGA Addon/Scalars/Scalar Inputs/DI.IO114/STATE</v>
      </c>
      <c r="I608" s="33" t="str">
        <f>I607</f>
        <v>IO114</v>
      </c>
      <c r="J608" s="104"/>
      <c r="K608" s="104"/>
      <c r="L608" s="107"/>
      <c r="M608" s="92"/>
      <c r="N608" s="95"/>
    </row>
    <row r="609" spans="1:14" x14ac:dyDescent="0.45">
      <c r="A609" s="98"/>
      <c r="B609" s="101"/>
      <c r="C609" s="70" t="str">
        <f>"PXIe-7820R/DIO" &amp; D609</f>
        <v>PXIe-7820R/DIO81</v>
      </c>
      <c r="D609" s="30">
        <f t="shared" si="206"/>
        <v>81</v>
      </c>
      <c r="E609" s="30" t="str">
        <f t="shared" si="204"/>
        <v>FPGA DI (PWM Meas.)</v>
      </c>
      <c r="F609" s="30" t="str">
        <f t="shared" si="204"/>
        <v>PWM_TIMEOUT</v>
      </c>
      <c r="G609" s="30" t="str">
        <f t="shared" si="202"/>
        <v>ATE/IO114/PWM_TIMEOUT</v>
      </c>
      <c r="H609" s="40" t="str">
        <f>Paths!$B$5 &amp; I609 &amp; Paths!$B$11</f>
        <v>Targets/Controller/Custom Devices/FPGA Addon/Scalars/Scalar Outputs/PWM.Set.IO114/TIMEOUT</v>
      </c>
      <c r="I609" s="33" t="str">
        <f>"IO" &amp; A606</f>
        <v>IO114</v>
      </c>
      <c r="J609" s="104"/>
      <c r="K609" s="104"/>
      <c r="L609" s="107"/>
      <c r="M609" s="92"/>
      <c r="N609" s="95"/>
    </row>
    <row r="610" spans="1:14" x14ac:dyDescent="0.45">
      <c r="A610" s="98"/>
      <c r="B610" s="101"/>
      <c r="C610" s="70" t="str">
        <f>"SLSC-12202-1/P" &amp; ROUNDDOWN(D610/8,0) &amp; "." &amp; MOD(D610,8)</f>
        <v>SLSC-12202-1/P2.1</v>
      </c>
      <c r="D610" s="30">
        <f t="shared" si="206"/>
        <v>17</v>
      </c>
      <c r="E610" s="30" t="str">
        <f t="shared" si="204"/>
        <v>Input</v>
      </c>
      <c r="F610" s="30" t="str">
        <f t="shared" si="204"/>
        <v>None</v>
      </c>
      <c r="G610" s="30" t="str">
        <f t="shared" si="202"/>
        <v>None</v>
      </c>
      <c r="H610" s="36" t="str">
        <f>Paths!$B$17 &amp; "port" &amp; ROUNDDOWN(D610/8,0) &amp; "//line" &amp;MOD(D610,8) &amp;"/Properties/NI.Line.Direction"</f>
        <v>Targets/Controller/Hardware/SLSC/SLSC Chassis/Modules/Slot 6 (SLSC EDS)/Physical Channels/port2//line1/Properties/NI.Line.Direction</v>
      </c>
      <c r="I610" s="33" t="str">
        <f>"IO" &amp; A606</f>
        <v>IO114</v>
      </c>
      <c r="J610" s="104"/>
      <c r="K610" s="104"/>
      <c r="L610" s="107"/>
      <c r="M610" s="92"/>
      <c r="N610" s="95"/>
    </row>
    <row r="611" spans="1:14" x14ac:dyDescent="0.45">
      <c r="A611" s="98"/>
      <c r="B611" s="101"/>
      <c r="C611" s="70" t="str">
        <f>"PXIe-6375/AI" &amp; D611</f>
        <v>PXIe-6375/AI113</v>
      </c>
      <c r="D611" s="30">
        <f t="shared" si="206"/>
        <v>113</v>
      </c>
      <c r="E611" s="56" t="str">
        <f t="shared" si="204"/>
        <v>Scaled current 0-8 A</v>
      </c>
      <c r="F611" s="30" t="str">
        <f t="shared" si="204"/>
        <v>TBD</v>
      </c>
      <c r="G611" s="30" t="str">
        <f t="shared" si="202"/>
        <v>None</v>
      </c>
      <c r="H611" s="41" t="str">
        <f>Paths!$B$27 &amp; I611 &amp; Paths!$B$29</f>
        <v>Targets/Controller/Calculated Channels/ATE/IO114/AI</v>
      </c>
      <c r="I611" s="33" t="str">
        <f>"IO" &amp; A606</f>
        <v>IO114</v>
      </c>
      <c r="J611" s="104"/>
      <c r="K611" s="104"/>
      <c r="L611" s="107"/>
      <c r="M611" s="92"/>
      <c r="N611" s="95"/>
    </row>
    <row r="612" spans="1:14" ht="14.65" thickBot="1" x14ac:dyDescent="0.5">
      <c r="A612" s="99"/>
      <c r="B612" s="102"/>
      <c r="C612" s="71" t="str">
        <f>"SLSC-12251-1/Ch" &amp; D612 &amp; "_DUT"</f>
        <v>SLSC-12251-1/Ch1_DUT</v>
      </c>
      <c r="D612" s="31">
        <f t="shared" si="206"/>
        <v>1</v>
      </c>
      <c r="E612" s="31" t="str">
        <f t="shared" si="204"/>
        <v>FIU</v>
      </c>
      <c r="F612" s="31" t="str">
        <f t="shared" si="204"/>
        <v>TBD</v>
      </c>
      <c r="G612" s="31" t="str">
        <f t="shared" si="202"/>
        <v>None</v>
      </c>
      <c r="H612" s="42" t="str">
        <f>Paths!$B$14 &amp; D612</f>
        <v>Targets/Controller/Hardware/SLSC/SLSC Chassis/Modules/Slot 2 (SLSC EDS :: SLSC-12251)/Physical Channels/Channel_1</v>
      </c>
      <c r="I612" s="59" t="str">
        <f>"IO" &amp; A606</f>
        <v>IO114</v>
      </c>
      <c r="J612" s="105"/>
      <c r="K612" s="105"/>
      <c r="L612" s="108"/>
      <c r="M612" s="93"/>
      <c r="N612" s="96"/>
    </row>
    <row r="613" spans="1:14" ht="15" customHeight="1" x14ac:dyDescent="0.45">
      <c r="A613" s="97">
        <f>A606+1</f>
        <v>115</v>
      </c>
      <c r="B613" s="100" t="str">
        <f>B606</f>
        <v>HIGH LOAD
DI: 0-60 V
AI: 0-60 V
EXT LOAD</v>
      </c>
      <c r="C613" s="69" t="str">
        <f>"PXIe-7820R/DIO" &amp; D613</f>
        <v>PXIe-7820R/DIO82</v>
      </c>
      <c r="D613" s="29">
        <f t="shared" si="206"/>
        <v>82</v>
      </c>
      <c r="E613" s="55" t="str">
        <f t="shared" si="204"/>
        <v>FPGA DI (PWM Meas.)</v>
      </c>
      <c r="F613" s="55" t="str">
        <f t="shared" si="204"/>
        <v>PWM_FR</v>
      </c>
      <c r="G613" s="29" t="str">
        <f t="shared" si="202"/>
        <v>ATE/IO115/PWM_FR</v>
      </c>
      <c r="H613" s="39" t="str">
        <f>Paths!$B$4 &amp; I613 &amp; Paths!$B$9</f>
        <v>Targets/Controller/Custom Devices/FPGA Addon/Scalars/Scalar Inputs/PWM.In.IO115/FREQ</v>
      </c>
      <c r="I613" s="32" t="str">
        <f>"IO" &amp; A613</f>
        <v>IO115</v>
      </c>
      <c r="J613" s="103" t="s">
        <v>6</v>
      </c>
      <c r="K613" s="103" t="s">
        <v>7</v>
      </c>
      <c r="L613" s="106"/>
      <c r="M613" s="91"/>
      <c r="N613" s="94"/>
    </row>
    <row r="614" spans="1:14" x14ac:dyDescent="0.45">
      <c r="A614" s="98"/>
      <c r="B614" s="101"/>
      <c r="C614" s="70" t="str">
        <f>"PXIe-7820R/DIO" &amp; D614</f>
        <v>PXIe-7820R/DIO82</v>
      </c>
      <c r="D614" s="30">
        <f t="shared" si="206"/>
        <v>82</v>
      </c>
      <c r="E614" s="30" t="str">
        <f t="shared" ref="E614:F633" si="207">E607</f>
        <v>FPGA DI (PWM Meas.)</v>
      </c>
      <c r="F614" s="30" t="str">
        <f t="shared" si="207"/>
        <v>PWM_DC</v>
      </c>
      <c r="G614" s="30" t="str">
        <f t="shared" si="202"/>
        <v>ATE/IO115/PWM_DC</v>
      </c>
      <c r="H614" s="40" t="str">
        <f>Paths!$B$4 &amp; I614 &amp; Paths!$B$10</f>
        <v>Targets/Controller/Custom Devices/FPGA Addon/Scalars/Scalar Inputs/PWM.In.IO115/DC</v>
      </c>
      <c r="I614" s="33" t="str">
        <f t="shared" ref="I614:I619" si="208">I613</f>
        <v>IO115</v>
      </c>
      <c r="J614" s="104"/>
      <c r="K614" s="104"/>
      <c r="L614" s="107"/>
      <c r="M614" s="92"/>
      <c r="N614" s="95"/>
    </row>
    <row r="615" spans="1:14" x14ac:dyDescent="0.45">
      <c r="A615" s="98"/>
      <c r="B615" s="101"/>
      <c r="C615" s="70" t="str">
        <f>"PXIe-7820R/DIO" &amp; D615</f>
        <v>PXIe-7820R/DIO82</v>
      </c>
      <c r="D615" s="30">
        <f t="shared" si="206"/>
        <v>82</v>
      </c>
      <c r="E615" s="30" t="str">
        <f t="shared" si="207"/>
        <v>PFGA DI (DI State)</v>
      </c>
      <c r="F615" s="30" t="str">
        <f t="shared" si="207"/>
        <v>DI</v>
      </c>
      <c r="G615" s="30" t="str">
        <f t="shared" si="202"/>
        <v>ATE/IO115/DI</v>
      </c>
      <c r="H615" s="90" t="str">
        <f>Paths!$B$3 &amp; I615 &amp; Paths!$B$8</f>
        <v>Targets/Controller/Custom Devices/FPGA Addon/Scalars/Scalar Inputs/DI.IO115/STATE</v>
      </c>
      <c r="I615" s="33" t="str">
        <f t="shared" si="208"/>
        <v>IO115</v>
      </c>
      <c r="J615" s="104"/>
      <c r="K615" s="104"/>
      <c r="L615" s="107"/>
      <c r="M615" s="92"/>
      <c r="N615" s="95"/>
    </row>
    <row r="616" spans="1:14" x14ac:dyDescent="0.45">
      <c r="A616" s="98"/>
      <c r="B616" s="101"/>
      <c r="C616" s="70" t="str">
        <f>"PXIe-7820R/DIO" &amp; D616</f>
        <v>PXIe-7820R/DIO82</v>
      </c>
      <c r="D616" s="30">
        <f t="shared" si="206"/>
        <v>82</v>
      </c>
      <c r="E616" s="30" t="str">
        <f t="shared" si="207"/>
        <v>FPGA DI (PWM Meas.)</v>
      </c>
      <c r="F616" s="30" t="str">
        <f t="shared" si="207"/>
        <v>PWM_TIMEOUT</v>
      </c>
      <c r="G616" s="30" t="str">
        <f t="shared" si="202"/>
        <v>ATE/IO115/PWM_TIMEOUT</v>
      </c>
      <c r="H616" s="40" t="str">
        <f>Paths!$B$5 &amp; I616 &amp; Paths!$B$11</f>
        <v>Targets/Controller/Custom Devices/FPGA Addon/Scalars/Scalar Outputs/PWM.Set.IO115/TIMEOUT</v>
      </c>
      <c r="I616" s="33" t="str">
        <f t="shared" si="208"/>
        <v>IO115</v>
      </c>
      <c r="J616" s="104"/>
      <c r="K616" s="104"/>
      <c r="L616" s="107"/>
      <c r="M616" s="92"/>
      <c r="N616" s="95"/>
    </row>
    <row r="617" spans="1:14" x14ac:dyDescent="0.45">
      <c r="A617" s="98"/>
      <c r="B617" s="101"/>
      <c r="C617" s="70" t="str">
        <f>"SLSC-12202-1/P" &amp; ROUNDDOWN(D617/8,0) &amp; "." &amp; MOD(D617,8)</f>
        <v>SLSC-12202-1/P2.2</v>
      </c>
      <c r="D617" s="30">
        <f t="shared" si="206"/>
        <v>18</v>
      </c>
      <c r="E617" s="30" t="str">
        <f t="shared" si="207"/>
        <v>Input</v>
      </c>
      <c r="F617" s="30" t="str">
        <f t="shared" si="207"/>
        <v>None</v>
      </c>
      <c r="G617" s="30" t="str">
        <f t="shared" si="202"/>
        <v>None</v>
      </c>
      <c r="H617" s="36" t="str">
        <f>Paths!$B$17 &amp; "port" &amp; ROUNDDOWN(D617/8,0) &amp; "//line" &amp;MOD(D617,8) &amp;"/Properties/NI.Line.Direction"</f>
        <v>Targets/Controller/Hardware/SLSC/SLSC Chassis/Modules/Slot 6 (SLSC EDS)/Physical Channels/port2//line2/Properties/NI.Line.Direction</v>
      </c>
      <c r="I617" s="33" t="str">
        <f t="shared" si="208"/>
        <v>IO115</v>
      </c>
      <c r="J617" s="104"/>
      <c r="K617" s="104"/>
      <c r="L617" s="107"/>
      <c r="M617" s="92"/>
      <c r="N617" s="95"/>
    </row>
    <row r="618" spans="1:14" x14ac:dyDescent="0.45">
      <c r="A618" s="98"/>
      <c r="B618" s="101"/>
      <c r="C618" s="70" t="str">
        <f>"PXIe-6375/AI" &amp; D618</f>
        <v>PXIe-6375/AI114</v>
      </c>
      <c r="D618" s="30">
        <f t="shared" si="206"/>
        <v>114</v>
      </c>
      <c r="E618" s="56" t="str">
        <f t="shared" si="207"/>
        <v>Scaled current 0-8 A</v>
      </c>
      <c r="F618" s="30" t="str">
        <f t="shared" si="207"/>
        <v>TBD</v>
      </c>
      <c r="G618" s="30" t="str">
        <f t="shared" si="202"/>
        <v>None</v>
      </c>
      <c r="H618" s="41" t="str">
        <f>Paths!$B$27 &amp; I618 &amp; Paths!$B$29</f>
        <v>Targets/Controller/Calculated Channels/ATE/IO115/AI</v>
      </c>
      <c r="I618" s="33" t="str">
        <f t="shared" si="208"/>
        <v>IO115</v>
      </c>
      <c r="J618" s="104"/>
      <c r="K618" s="104"/>
      <c r="L618" s="107"/>
      <c r="M618" s="92"/>
      <c r="N618" s="95"/>
    </row>
    <row r="619" spans="1:14" ht="14.65" thickBot="1" x14ac:dyDescent="0.5">
      <c r="A619" s="99"/>
      <c r="B619" s="102"/>
      <c r="C619" s="71" t="str">
        <f>"SLSC-12251-1/Ch" &amp; D619 &amp; "_DUT"</f>
        <v>SLSC-12251-1/Ch2_DUT</v>
      </c>
      <c r="D619" s="31">
        <f t="shared" si="206"/>
        <v>2</v>
      </c>
      <c r="E619" s="31" t="str">
        <f t="shared" si="207"/>
        <v>FIU</v>
      </c>
      <c r="F619" s="31" t="str">
        <f t="shared" si="207"/>
        <v>TBD</v>
      </c>
      <c r="G619" s="31" t="str">
        <f t="shared" si="202"/>
        <v>None</v>
      </c>
      <c r="H619" s="42" t="str">
        <f>Paths!$B$14 &amp; D619</f>
        <v>Targets/Controller/Hardware/SLSC/SLSC Chassis/Modules/Slot 2 (SLSC EDS :: SLSC-12251)/Physical Channels/Channel_2</v>
      </c>
      <c r="I619" s="33" t="str">
        <f t="shared" si="208"/>
        <v>IO115</v>
      </c>
      <c r="J619" s="105"/>
      <c r="K619" s="105"/>
      <c r="L619" s="108"/>
      <c r="M619" s="93"/>
      <c r="N619" s="96"/>
    </row>
    <row r="620" spans="1:14" ht="15" customHeight="1" x14ac:dyDescent="0.45">
      <c r="A620" s="97">
        <f>A613+1</f>
        <v>116</v>
      </c>
      <c r="B620" s="100" t="str">
        <f>B613</f>
        <v>HIGH LOAD
DI: 0-60 V
AI: 0-60 V
EXT LOAD</v>
      </c>
      <c r="C620" s="69" t="str">
        <f>"PXIe-7820R/DIO" &amp; D620</f>
        <v>PXIe-7820R/DIO83</v>
      </c>
      <c r="D620" s="29">
        <f t="shared" si="206"/>
        <v>83</v>
      </c>
      <c r="E620" s="55" t="str">
        <f t="shared" si="207"/>
        <v>FPGA DI (PWM Meas.)</v>
      </c>
      <c r="F620" s="55" t="str">
        <f t="shared" si="207"/>
        <v>PWM_FR</v>
      </c>
      <c r="G620" s="29" t="str">
        <f t="shared" si="202"/>
        <v>ATE/IO116/PWM_FR</v>
      </c>
      <c r="H620" s="39" t="str">
        <f>Paths!$B$4 &amp; I620 &amp; Paths!$B$9</f>
        <v>Targets/Controller/Custom Devices/FPGA Addon/Scalars/Scalar Inputs/PWM.In.IO116/FREQ</v>
      </c>
      <c r="I620" s="32" t="str">
        <f>"IO" &amp; A620</f>
        <v>IO116</v>
      </c>
      <c r="J620" s="103" t="s">
        <v>6</v>
      </c>
      <c r="K620" s="103" t="s">
        <v>7</v>
      </c>
      <c r="L620" s="106"/>
      <c r="M620" s="91"/>
      <c r="N620" s="94"/>
    </row>
    <row r="621" spans="1:14" x14ac:dyDescent="0.45">
      <c r="A621" s="98"/>
      <c r="B621" s="101"/>
      <c r="C621" s="70" t="str">
        <f>"PXIe-7820R/DIO" &amp; D621</f>
        <v>PXIe-7820R/DIO83</v>
      </c>
      <c r="D621" s="30">
        <f t="shared" si="206"/>
        <v>83</v>
      </c>
      <c r="E621" s="30" t="str">
        <f t="shared" si="207"/>
        <v>FPGA DI (PWM Meas.)</v>
      </c>
      <c r="F621" s="30" t="str">
        <f t="shared" si="207"/>
        <v>PWM_DC</v>
      </c>
      <c r="G621" s="30" t="str">
        <f t="shared" si="202"/>
        <v>ATE/IO116/PWM_DC</v>
      </c>
      <c r="H621" s="40" t="str">
        <f>Paths!$B$4 &amp; I621 &amp; Paths!$B$10</f>
        <v>Targets/Controller/Custom Devices/FPGA Addon/Scalars/Scalar Inputs/PWM.In.IO116/DC</v>
      </c>
      <c r="I621" s="33" t="str">
        <f>"IO" &amp; A620</f>
        <v>IO116</v>
      </c>
      <c r="J621" s="104"/>
      <c r="K621" s="104"/>
      <c r="L621" s="107"/>
      <c r="M621" s="92"/>
      <c r="N621" s="95"/>
    </row>
    <row r="622" spans="1:14" x14ac:dyDescent="0.45">
      <c r="A622" s="98"/>
      <c r="B622" s="101"/>
      <c r="C622" s="70" t="str">
        <f>"PXIe-7820R/DIO" &amp; D622</f>
        <v>PXIe-7820R/DIO83</v>
      </c>
      <c r="D622" s="30">
        <f t="shared" si="206"/>
        <v>83</v>
      </c>
      <c r="E622" s="30" t="str">
        <f t="shared" si="207"/>
        <v>PFGA DI (DI State)</v>
      </c>
      <c r="F622" s="30" t="str">
        <f t="shared" si="207"/>
        <v>DI</v>
      </c>
      <c r="G622" s="30" t="str">
        <f t="shared" si="202"/>
        <v>ATE/IO116/DI</v>
      </c>
      <c r="H622" s="90" t="str">
        <f>Paths!$B$3 &amp; I622 &amp; Paths!$B$8</f>
        <v>Targets/Controller/Custom Devices/FPGA Addon/Scalars/Scalar Inputs/DI.IO116/STATE</v>
      </c>
      <c r="I622" s="33" t="str">
        <f>I621</f>
        <v>IO116</v>
      </c>
      <c r="J622" s="104"/>
      <c r="K622" s="104"/>
      <c r="L622" s="107"/>
      <c r="M622" s="92"/>
      <c r="N622" s="95"/>
    </row>
    <row r="623" spans="1:14" x14ac:dyDescent="0.45">
      <c r="A623" s="98"/>
      <c r="B623" s="101"/>
      <c r="C623" s="70" t="str">
        <f>"PXIe-7820R/DIO" &amp; D623</f>
        <v>PXIe-7820R/DIO83</v>
      </c>
      <c r="D623" s="30">
        <f t="shared" si="206"/>
        <v>83</v>
      </c>
      <c r="E623" s="30" t="str">
        <f t="shared" si="207"/>
        <v>FPGA DI (PWM Meas.)</v>
      </c>
      <c r="F623" s="30" t="str">
        <f t="shared" si="207"/>
        <v>PWM_TIMEOUT</v>
      </c>
      <c r="G623" s="30" t="str">
        <f t="shared" si="202"/>
        <v>ATE/IO116/PWM_TIMEOUT</v>
      </c>
      <c r="H623" s="40" t="str">
        <f>Paths!$B$5 &amp; I623 &amp; Paths!$B$11</f>
        <v>Targets/Controller/Custom Devices/FPGA Addon/Scalars/Scalar Outputs/PWM.Set.IO116/TIMEOUT</v>
      </c>
      <c r="I623" s="33" t="str">
        <f>"IO" &amp; A620</f>
        <v>IO116</v>
      </c>
      <c r="J623" s="104"/>
      <c r="K623" s="104"/>
      <c r="L623" s="107"/>
      <c r="M623" s="92"/>
      <c r="N623" s="95"/>
    </row>
    <row r="624" spans="1:14" x14ac:dyDescent="0.45">
      <c r="A624" s="98"/>
      <c r="B624" s="101"/>
      <c r="C624" s="70" t="str">
        <f>"SLSC-12202-1/P" &amp; ROUNDDOWN(D624/8,0) &amp; "." &amp; MOD(D624,8)</f>
        <v>SLSC-12202-1/P2.3</v>
      </c>
      <c r="D624" s="30">
        <f t="shared" si="206"/>
        <v>19</v>
      </c>
      <c r="E624" s="30" t="str">
        <f t="shared" si="207"/>
        <v>Input</v>
      </c>
      <c r="F624" s="30" t="str">
        <f t="shared" si="207"/>
        <v>None</v>
      </c>
      <c r="G624" s="30" t="str">
        <f t="shared" si="202"/>
        <v>None</v>
      </c>
      <c r="H624" s="36" t="str">
        <f>Paths!$B$17 &amp; "port" &amp; ROUNDDOWN(D624/8,0) &amp; "//line" &amp;MOD(D624,8) &amp;"/Properties/NI.Line.Direction"</f>
        <v>Targets/Controller/Hardware/SLSC/SLSC Chassis/Modules/Slot 6 (SLSC EDS)/Physical Channels/port2//line3/Properties/NI.Line.Direction</v>
      </c>
      <c r="I624" s="33" t="str">
        <f>"IO" &amp; A620</f>
        <v>IO116</v>
      </c>
      <c r="J624" s="104"/>
      <c r="K624" s="104"/>
      <c r="L624" s="107"/>
      <c r="M624" s="92"/>
      <c r="N624" s="95"/>
    </row>
    <row r="625" spans="1:14" x14ac:dyDescent="0.45">
      <c r="A625" s="98"/>
      <c r="B625" s="101"/>
      <c r="C625" s="70" t="str">
        <f>"PXIe-6375/AI" &amp; D625</f>
        <v>PXIe-6375/AI115</v>
      </c>
      <c r="D625" s="30">
        <f t="shared" si="206"/>
        <v>115</v>
      </c>
      <c r="E625" s="56" t="str">
        <f t="shared" si="207"/>
        <v>Scaled current 0-8 A</v>
      </c>
      <c r="F625" s="30" t="str">
        <f t="shared" si="207"/>
        <v>TBD</v>
      </c>
      <c r="G625" s="30" t="str">
        <f t="shared" si="202"/>
        <v>None</v>
      </c>
      <c r="H625" s="41" t="str">
        <f>Paths!$B$27 &amp; I625 &amp; Paths!$B$29</f>
        <v>Targets/Controller/Calculated Channels/ATE/IO116/AI</v>
      </c>
      <c r="I625" s="33" t="str">
        <f>"IO" &amp; A620</f>
        <v>IO116</v>
      </c>
      <c r="J625" s="104"/>
      <c r="K625" s="104"/>
      <c r="L625" s="107"/>
      <c r="M625" s="92"/>
      <c r="N625" s="95"/>
    </row>
    <row r="626" spans="1:14" ht="14.65" thickBot="1" x14ac:dyDescent="0.5">
      <c r="A626" s="99"/>
      <c r="B626" s="102"/>
      <c r="C626" s="71" t="str">
        <f>"SLSC-12251-1/Ch" &amp; D626 &amp; "_DUT"</f>
        <v>SLSC-12251-1/Ch3_DUT</v>
      </c>
      <c r="D626" s="31">
        <f t="shared" si="206"/>
        <v>3</v>
      </c>
      <c r="E626" s="31" t="str">
        <f t="shared" si="207"/>
        <v>FIU</v>
      </c>
      <c r="F626" s="31" t="str">
        <f t="shared" si="207"/>
        <v>TBD</v>
      </c>
      <c r="G626" s="31" t="str">
        <f t="shared" si="202"/>
        <v>None</v>
      </c>
      <c r="H626" s="42" t="str">
        <f>Paths!$B$14 &amp; D626</f>
        <v>Targets/Controller/Hardware/SLSC/SLSC Chassis/Modules/Slot 2 (SLSC EDS :: SLSC-12251)/Physical Channels/Channel_3</v>
      </c>
      <c r="I626" s="59" t="str">
        <f>"IO" &amp; A620</f>
        <v>IO116</v>
      </c>
      <c r="J626" s="105"/>
      <c r="K626" s="105"/>
      <c r="L626" s="108"/>
      <c r="M626" s="93"/>
      <c r="N626" s="96"/>
    </row>
    <row r="627" spans="1:14" ht="15" customHeight="1" x14ac:dyDescent="0.45">
      <c r="A627" s="97">
        <f>A620+1</f>
        <v>117</v>
      </c>
      <c r="B627" s="100" t="str">
        <f>B620</f>
        <v>HIGH LOAD
DI: 0-60 V
AI: 0-60 V
EXT LOAD</v>
      </c>
      <c r="C627" s="69" t="str">
        <f>"PXIe-7820R/DIO" &amp; D627</f>
        <v>PXIe-7820R/DIO84</v>
      </c>
      <c r="D627" s="29">
        <f t="shared" si="206"/>
        <v>84</v>
      </c>
      <c r="E627" s="55" t="str">
        <f t="shared" si="207"/>
        <v>FPGA DI (PWM Meas.)</v>
      </c>
      <c r="F627" s="55" t="str">
        <f t="shared" si="207"/>
        <v>PWM_FR</v>
      </c>
      <c r="G627" s="29" t="str">
        <f t="shared" si="202"/>
        <v>ATE/IO117/PWM_FR</v>
      </c>
      <c r="H627" s="39" t="str">
        <f>Paths!$B$4 &amp; I627 &amp; Paths!$B$9</f>
        <v>Targets/Controller/Custom Devices/FPGA Addon/Scalars/Scalar Inputs/PWM.In.IO117/FREQ</v>
      </c>
      <c r="I627" s="32" t="str">
        <f>"IO" &amp; A627</f>
        <v>IO117</v>
      </c>
      <c r="J627" s="103" t="s">
        <v>6</v>
      </c>
      <c r="K627" s="103" t="s">
        <v>7</v>
      </c>
      <c r="L627" s="106"/>
      <c r="M627" s="91"/>
      <c r="N627" s="94"/>
    </row>
    <row r="628" spans="1:14" x14ac:dyDescent="0.45">
      <c r="A628" s="98"/>
      <c r="B628" s="101"/>
      <c r="C628" s="70" t="str">
        <f>"PXIe-7820R/DIO" &amp; D628</f>
        <v>PXIe-7820R/DIO84</v>
      </c>
      <c r="D628" s="30">
        <f t="shared" si="206"/>
        <v>84</v>
      </c>
      <c r="E628" s="30" t="str">
        <f t="shared" si="207"/>
        <v>FPGA DI (PWM Meas.)</v>
      </c>
      <c r="F628" s="30" t="str">
        <f t="shared" si="207"/>
        <v>PWM_DC</v>
      </c>
      <c r="G628" s="30" t="str">
        <f t="shared" si="202"/>
        <v>ATE/IO117/PWM_DC</v>
      </c>
      <c r="H628" s="40" t="str">
        <f>Paths!$B$4 &amp; I628 &amp; Paths!$B$10</f>
        <v>Targets/Controller/Custom Devices/FPGA Addon/Scalars/Scalar Inputs/PWM.In.IO117/DC</v>
      </c>
      <c r="I628" s="33" t="str">
        <f>"IO" &amp; A627</f>
        <v>IO117</v>
      </c>
      <c r="J628" s="104"/>
      <c r="K628" s="104"/>
      <c r="L628" s="107"/>
      <c r="M628" s="92"/>
      <c r="N628" s="95"/>
    </row>
    <row r="629" spans="1:14" x14ac:dyDescent="0.45">
      <c r="A629" s="98"/>
      <c r="B629" s="101"/>
      <c r="C629" s="70" t="str">
        <f>"PXIe-7820R/DIO" &amp; D629</f>
        <v>PXIe-7820R/DIO84</v>
      </c>
      <c r="D629" s="30">
        <f t="shared" si="206"/>
        <v>84</v>
      </c>
      <c r="E629" s="30" t="str">
        <f t="shared" si="207"/>
        <v>PFGA DI (DI State)</v>
      </c>
      <c r="F629" s="30" t="str">
        <f t="shared" si="207"/>
        <v>DI</v>
      </c>
      <c r="G629" s="30" t="str">
        <f t="shared" si="202"/>
        <v>ATE/IO117/DI</v>
      </c>
      <c r="H629" s="90" t="str">
        <f>Paths!$B$3 &amp; I629 &amp; Paths!$B$8</f>
        <v>Targets/Controller/Custom Devices/FPGA Addon/Scalars/Scalar Inputs/DI.IO117/STATE</v>
      </c>
      <c r="I629" s="33" t="str">
        <f>I628</f>
        <v>IO117</v>
      </c>
      <c r="J629" s="104"/>
      <c r="K629" s="104"/>
      <c r="L629" s="107"/>
      <c r="M629" s="92"/>
      <c r="N629" s="95"/>
    </row>
    <row r="630" spans="1:14" x14ac:dyDescent="0.45">
      <c r="A630" s="98"/>
      <c r="B630" s="101"/>
      <c r="C630" s="70" t="str">
        <f>"PXIe-7820R/DIO" &amp; D630</f>
        <v>PXIe-7820R/DIO84</v>
      </c>
      <c r="D630" s="30">
        <f t="shared" si="206"/>
        <v>84</v>
      </c>
      <c r="E630" s="30" t="str">
        <f t="shared" si="207"/>
        <v>FPGA DI (PWM Meas.)</v>
      </c>
      <c r="F630" s="30" t="str">
        <f t="shared" si="207"/>
        <v>PWM_TIMEOUT</v>
      </c>
      <c r="G630" s="30" t="str">
        <f t="shared" si="202"/>
        <v>ATE/IO117/PWM_TIMEOUT</v>
      </c>
      <c r="H630" s="40" t="str">
        <f>Paths!$B$5 &amp; I630 &amp; Paths!$B$11</f>
        <v>Targets/Controller/Custom Devices/FPGA Addon/Scalars/Scalar Outputs/PWM.Set.IO117/TIMEOUT</v>
      </c>
      <c r="I630" s="33" t="str">
        <f>"IO" &amp; A627</f>
        <v>IO117</v>
      </c>
      <c r="J630" s="104"/>
      <c r="K630" s="104"/>
      <c r="L630" s="107"/>
      <c r="M630" s="92"/>
      <c r="N630" s="95"/>
    </row>
    <row r="631" spans="1:14" x14ac:dyDescent="0.45">
      <c r="A631" s="98"/>
      <c r="B631" s="101"/>
      <c r="C631" s="70" t="str">
        <f>"SLSC-12202-1/P" &amp; ROUNDDOWN(D631/8,0) &amp; "." &amp; MOD(D631,8)</f>
        <v>SLSC-12202-1/P2.4</v>
      </c>
      <c r="D631" s="30">
        <f t="shared" si="206"/>
        <v>20</v>
      </c>
      <c r="E631" s="30" t="str">
        <f t="shared" si="207"/>
        <v>Input</v>
      </c>
      <c r="F631" s="30" t="str">
        <f t="shared" si="207"/>
        <v>None</v>
      </c>
      <c r="G631" s="30" t="str">
        <f t="shared" si="202"/>
        <v>None</v>
      </c>
      <c r="H631" s="36" t="str">
        <f>Paths!$B$17 &amp; "port" &amp; ROUNDDOWN(D631/8,0) &amp; "//line" &amp;MOD(D631,8) &amp;"/Properties/NI.Line.Direction"</f>
        <v>Targets/Controller/Hardware/SLSC/SLSC Chassis/Modules/Slot 6 (SLSC EDS)/Physical Channels/port2//line4/Properties/NI.Line.Direction</v>
      </c>
      <c r="I631" s="33" t="str">
        <f>"IO" &amp; A627</f>
        <v>IO117</v>
      </c>
      <c r="J631" s="104"/>
      <c r="K631" s="104"/>
      <c r="L631" s="107"/>
      <c r="M631" s="92"/>
      <c r="N631" s="95"/>
    </row>
    <row r="632" spans="1:14" x14ac:dyDescent="0.45">
      <c r="A632" s="98"/>
      <c r="B632" s="101"/>
      <c r="C632" s="70" t="str">
        <f>"PXIe-6375/AI" &amp; D632</f>
        <v>PXIe-6375/AI116</v>
      </c>
      <c r="D632" s="30">
        <f t="shared" si="206"/>
        <v>116</v>
      </c>
      <c r="E632" s="56" t="str">
        <f t="shared" si="207"/>
        <v>Scaled current 0-8 A</v>
      </c>
      <c r="F632" s="30" t="str">
        <f t="shared" si="207"/>
        <v>TBD</v>
      </c>
      <c r="G632" s="30" t="str">
        <f t="shared" si="202"/>
        <v>None</v>
      </c>
      <c r="H632" s="41" t="str">
        <f>Paths!$B$27 &amp; I632 &amp; Paths!$B$29</f>
        <v>Targets/Controller/Calculated Channels/ATE/IO117/AI</v>
      </c>
      <c r="I632" s="33" t="str">
        <f>"IO" &amp; A627</f>
        <v>IO117</v>
      </c>
      <c r="J632" s="104"/>
      <c r="K632" s="104"/>
      <c r="L632" s="107"/>
      <c r="M632" s="92"/>
      <c r="N632" s="95"/>
    </row>
    <row r="633" spans="1:14" ht="14.65" thickBot="1" x14ac:dyDescent="0.5">
      <c r="A633" s="99"/>
      <c r="B633" s="102"/>
      <c r="C633" s="71" t="str">
        <f>"SLSC-12251-1/Ch" &amp; D633 &amp; "_DUT"</f>
        <v>SLSC-12251-1/Ch4_DUT</v>
      </c>
      <c r="D633" s="31">
        <f t="shared" si="206"/>
        <v>4</v>
      </c>
      <c r="E633" s="31" t="str">
        <f t="shared" si="207"/>
        <v>FIU</v>
      </c>
      <c r="F633" s="31" t="str">
        <f t="shared" si="207"/>
        <v>TBD</v>
      </c>
      <c r="G633" s="31" t="str">
        <f t="shared" si="202"/>
        <v>None</v>
      </c>
      <c r="H633" s="42" t="str">
        <f>Paths!$B$14 &amp; D633</f>
        <v>Targets/Controller/Hardware/SLSC/SLSC Chassis/Modules/Slot 2 (SLSC EDS :: SLSC-12251)/Physical Channels/Channel_4</v>
      </c>
      <c r="I633" s="59" t="str">
        <f>"IO" &amp; A627</f>
        <v>IO117</v>
      </c>
      <c r="J633" s="105"/>
      <c r="K633" s="105"/>
      <c r="L633" s="108"/>
      <c r="M633" s="93"/>
      <c r="N633" s="96"/>
    </row>
    <row r="634" spans="1:14" ht="15" customHeight="1" x14ac:dyDescent="0.45">
      <c r="A634" s="97">
        <f>A627+1</f>
        <v>118</v>
      </c>
      <c r="B634" s="100" t="str">
        <f>B627</f>
        <v>HIGH LOAD
DI: 0-60 V
AI: 0-60 V
EXT LOAD</v>
      </c>
      <c r="C634" s="69" t="str">
        <f>"PXIe-7820R/DIO" &amp; D634</f>
        <v>PXIe-7820R/DIO85</v>
      </c>
      <c r="D634" s="29">
        <f t="shared" si="206"/>
        <v>85</v>
      </c>
      <c r="E634" s="55" t="str">
        <f t="shared" ref="E634:F653" si="209">E627</f>
        <v>FPGA DI (PWM Meas.)</v>
      </c>
      <c r="F634" s="55" t="str">
        <f t="shared" si="209"/>
        <v>PWM_FR</v>
      </c>
      <c r="G634" s="29" t="str">
        <f t="shared" si="202"/>
        <v>ATE/IO118/PWM_FR</v>
      </c>
      <c r="H634" s="39" t="str">
        <f>Paths!$B$4 &amp; I634 &amp; Paths!$B$9</f>
        <v>Targets/Controller/Custom Devices/FPGA Addon/Scalars/Scalar Inputs/PWM.In.IO118/FREQ</v>
      </c>
      <c r="I634" s="32" t="str">
        <f>"IO" &amp; A634</f>
        <v>IO118</v>
      </c>
      <c r="J634" s="103" t="s">
        <v>6</v>
      </c>
      <c r="K634" s="103" t="s">
        <v>7</v>
      </c>
      <c r="L634" s="106"/>
      <c r="M634" s="91"/>
      <c r="N634" s="94"/>
    </row>
    <row r="635" spans="1:14" x14ac:dyDescent="0.45">
      <c r="A635" s="98"/>
      <c r="B635" s="101"/>
      <c r="C635" s="70" t="str">
        <f>"PXIe-7820R/DIO" &amp; D635</f>
        <v>PXIe-7820R/DIO85</v>
      </c>
      <c r="D635" s="30">
        <f t="shared" si="206"/>
        <v>85</v>
      </c>
      <c r="E635" s="30" t="str">
        <f t="shared" si="209"/>
        <v>FPGA DI (PWM Meas.)</v>
      </c>
      <c r="F635" s="30" t="str">
        <f t="shared" si="209"/>
        <v>PWM_DC</v>
      </c>
      <c r="G635" s="30" t="str">
        <f t="shared" si="202"/>
        <v>ATE/IO118/PWM_DC</v>
      </c>
      <c r="H635" s="40" t="str">
        <f>Paths!$B$4 &amp; I635 &amp; Paths!$B$10</f>
        <v>Targets/Controller/Custom Devices/FPGA Addon/Scalars/Scalar Inputs/PWM.In.IO118/DC</v>
      </c>
      <c r="I635" s="33" t="str">
        <f>"IO" &amp; A634</f>
        <v>IO118</v>
      </c>
      <c r="J635" s="104"/>
      <c r="K635" s="104"/>
      <c r="L635" s="107"/>
      <c r="M635" s="92"/>
      <c r="N635" s="95"/>
    </row>
    <row r="636" spans="1:14" x14ac:dyDescent="0.45">
      <c r="A636" s="98"/>
      <c r="B636" s="101"/>
      <c r="C636" s="70" t="str">
        <f>"PXIe-7820R/DIO" &amp; D636</f>
        <v>PXIe-7820R/DIO85</v>
      </c>
      <c r="D636" s="30">
        <f t="shared" si="206"/>
        <v>85</v>
      </c>
      <c r="E636" s="30" t="str">
        <f t="shared" si="209"/>
        <v>PFGA DI (DI State)</v>
      </c>
      <c r="F636" s="30" t="str">
        <f t="shared" si="209"/>
        <v>DI</v>
      </c>
      <c r="G636" s="30" t="str">
        <f t="shared" si="202"/>
        <v>ATE/IO118/DI</v>
      </c>
      <c r="H636" s="90" t="str">
        <f>Paths!$B$3 &amp; I636 &amp; Paths!$B$8</f>
        <v>Targets/Controller/Custom Devices/FPGA Addon/Scalars/Scalar Inputs/DI.IO118/STATE</v>
      </c>
      <c r="I636" s="33" t="str">
        <f>I635</f>
        <v>IO118</v>
      </c>
      <c r="J636" s="104"/>
      <c r="K636" s="104"/>
      <c r="L636" s="107"/>
      <c r="M636" s="92"/>
      <c r="N636" s="95"/>
    </row>
    <row r="637" spans="1:14" x14ac:dyDescent="0.45">
      <c r="A637" s="98"/>
      <c r="B637" s="101"/>
      <c r="C637" s="70" t="str">
        <f>"PXIe-7820R/DIO" &amp; D637</f>
        <v>PXIe-7820R/DIO85</v>
      </c>
      <c r="D637" s="30">
        <f t="shared" si="206"/>
        <v>85</v>
      </c>
      <c r="E637" s="30" t="str">
        <f t="shared" si="209"/>
        <v>FPGA DI (PWM Meas.)</v>
      </c>
      <c r="F637" s="30" t="str">
        <f t="shared" si="209"/>
        <v>PWM_TIMEOUT</v>
      </c>
      <c r="G637" s="30" t="str">
        <f t="shared" si="202"/>
        <v>ATE/IO118/PWM_TIMEOUT</v>
      </c>
      <c r="H637" s="40" t="str">
        <f>Paths!$B$5 &amp; I637 &amp; Paths!$B$11</f>
        <v>Targets/Controller/Custom Devices/FPGA Addon/Scalars/Scalar Outputs/PWM.Set.IO118/TIMEOUT</v>
      </c>
      <c r="I637" s="33" t="str">
        <f>"IO" &amp; A634</f>
        <v>IO118</v>
      </c>
      <c r="J637" s="104"/>
      <c r="K637" s="104"/>
      <c r="L637" s="107"/>
      <c r="M637" s="92"/>
      <c r="N637" s="95"/>
    </row>
    <row r="638" spans="1:14" x14ac:dyDescent="0.45">
      <c r="A638" s="98"/>
      <c r="B638" s="101"/>
      <c r="C638" s="70" t="str">
        <f>"SLSC-12202-1/P" &amp; ROUNDDOWN(D638/8,0) &amp; "." &amp; MOD(D638,8)</f>
        <v>SLSC-12202-1/P2.5</v>
      </c>
      <c r="D638" s="30">
        <f t="shared" ref="D638:D658" si="210">D631+1</f>
        <v>21</v>
      </c>
      <c r="E638" s="30" t="str">
        <f t="shared" si="209"/>
        <v>Input</v>
      </c>
      <c r="F638" s="30" t="str">
        <f t="shared" si="209"/>
        <v>None</v>
      </c>
      <c r="G638" s="30" t="str">
        <f t="shared" si="202"/>
        <v>None</v>
      </c>
      <c r="H638" s="36" t="str">
        <f>Paths!$B$17 &amp; "port" &amp; ROUNDDOWN(D638/8,0) &amp; "//line" &amp;MOD(D638,8) &amp;"/Properties/NI.Line.Direction"</f>
        <v>Targets/Controller/Hardware/SLSC/SLSC Chassis/Modules/Slot 6 (SLSC EDS)/Physical Channels/port2//line5/Properties/NI.Line.Direction</v>
      </c>
      <c r="I638" s="33" t="str">
        <f>"IO" &amp; A634</f>
        <v>IO118</v>
      </c>
      <c r="J638" s="104"/>
      <c r="K638" s="104"/>
      <c r="L638" s="107"/>
      <c r="M638" s="92"/>
      <c r="N638" s="95"/>
    </row>
    <row r="639" spans="1:14" x14ac:dyDescent="0.45">
      <c r="A639" s="98"/>
      <c r="B639" s="101"/>
      <c r="C639" s="70" t="str">
        <f>"PXIe-6375/AI" &amp; D639</f>
        <v>PXIe-6375/AI117</v>
      </c>
      <c r="D639" s="30">
        <f t="shared" si="210"/>
        <v>117</v>
      </c>
      <c r="E639" s="56" t="str">
        <f t="shared" si="209"/>
        <v>Scaled current 0-8 A</v>
      </c>
      <c r="F639" s="30" t="str">
        <f t="shared" si="209"/>
        <v>TBD</v>
      </c>
      <c r="G639" s="30" t="str">
        <f t="shared" si="202"/>
        <v>None</v>
      </c>
      <c r="H639" s="41" t="str">
        <f>Paths!$B$27 &amp; I639 &amp; Paths!$B$29</f>
        <v>Targets/Controller/Calculated Channels/ATE/IO118/AI</v>
      </c>
      <c r="I639" s="33" t="str">
        <f>"IO" &amp; A634</f>
        <v>IO118</v>
      </c>
      <c r="J639" s="104"/>
      <c r="K639" s="104"/>
      <c r="L639" s="107"/>
      <c r="M639" s="92"/>
      <c r="N639" s="95"/>
    </row>
    <row r="640" spans="1:14" ht="14.65" thickBot="1" x14ac:dyDescent="0.5">
      <c r="A640" s="99"/>
      <c r="B640" s="102"/>
      <c r="C640" s="71" t="str">
        <f>"SLSC-12251-1/Ch" &amp; D640 &amp; "_DUT"</f>
        <v>SLSC-12251-1/Ch5_DUT</v>
      </c>
      <c r="D640" s="31">
        <f t="shared" si="210"/>
        <v>5</v>
      </c>
      <c r="E640" s="31" t="str">
        <f t="shared" si="209"/>
        <v>FIU</v>
      </c>
      <c r="F640" s="31" t="str">
        <f t="shared" si="209"/>
        <v>TBD</v>
      </c>
      <c r="G640" s="31" t="str">
        <f t="shared" si="202"/>
        <v>None</v>
      </c>
      <c r="H640" s="42" t="str">
        <f>Paths!$B$14 &amp; D640</f>
        <v>Targets/Controller/Hardware/SLSC/SLSC Chassis/Modules/Slot 2 (SLSC EDS :: SLSC-12251)/Physical Channels/Channel_5</v>
      </c>
      <c r="I640" s="59" t="str">
        <f>"IO" &amp; A634</f>
        <v>IO118</v>
      </c>
      <c r="J640" s="105"/>
      <c r="K640" s="105"/>
      <c r="L640" s="108"/>
      <c r="M640" s="93"/>
      <c r="N640" s="96"/>
    </row>
    <row r="641" spans="1:14" ht="15" customHeight="1" x14ac:dyDescent="0.45">
      <c r="A641" s="97">
        <f>A634+1</f>
        <v>119</v>
      </c>
      <c r="B641" s="100" t="str">
        <f>B634</f>
        <v>HIGH LOAD
DI: 0-60 V
AI: 0-60 V
EXT LOAD</v>
      </c>
      <c r="C641" s="69" t="str">
        <f>"PXIe-7820R/DIO" &amp; D641</f>
        <v>PXIe-7820R/DIO86</v>
      </c>
      <c r="D641" s="29">
        <f t="shared" si="210"/>
        <v>86</v>
      </c>
      <c r="E641" s="55" t="str">
        <f t="shared" si="209"/>
        <v>FPGA DI (PWM Meas.)</v>
      </c>
      <c r="F641" s="55" t="str">
        <f t="shared" si="209"/>
        <v>PWM_FR</v>
      </c>
      <c r="G641" s="29" t="str">
        <f t="shared" si="202"/>
        <v>ATE/IO119/PWM_FR</v>
      </c>
      <c r="H641" s="39" t="str">
        <f>Paths!$B$4 &amp; I641 &amp; Paths!$B$9</f>
        <v>Targets/Controller/Custom Devices/FPGA Addon/Scalars/Scalar Inputs/PWM.In.IO119/FREQ</v>
      </c>
      <c r="I641" s="32" t="str">
        <f>"IO" &amp; A641</f>
        <v>IO119</v>
      </c>
      <c r="J641" s="103" t="s">
        <v>6</v>
      </c>
      <c r="K641" s="103" t="s">
        <v>7</v>
      </c>
      <c r="L641" s="106"/>
      <c r="M641" s="91"/>
      <c r="N641" s="94"/>
    </row>
    <row r="642" spans="1:14" x14ac:dyDescent="0.45">
      <c r="A642" s="98"/>
      <c r="B642" s="101"/>
      <c r="C642" s="70" t="str">
        <f>"PXIe-7820R/DIO" &amp; D642</f>
        <v>PXIe-7820R/DIO86</v>
      </c>
      <c r="D642" s="30">
        <f t="shared" si="210"/>
        <v>86</v>
      </c>
      <c r="E642" s="30" t="str">
        <f t="shared" si="209"/>
        <v>FPGA DI (PWM Meas.)</v>
      </c>
      <c r="F642" s="30" t="str">
        <f t="shared" si="209"/>
        <v>PWM_DC</v>
      </c>
      <c r="G642" s="30" t="str">
        <f t="shared" si="202"/>
        <v>ATE/IO119/PWM_DC</v>
      </c>
      <c r="H642" s="40" t="str">
        <f>Paths!$B$4 &amp; I642 &amp; Paths!$B$10</f>
        <v>Targets/Controller/Custom Devices/FPGA Addon/Scalars/Scalar Inputs/PWM.In.IO119/DC</v>
      </c>
      <c r="I642" s="33" t="str">
        <f>"IO" &amp; A641</f>
        <v>IO119</v>
      </c>
      <c r="J642" s="104"/>
      <c r="K642" s="104"/>
      <c r="L642" s="107"/>
      <c r="M642" s="92"/>
      <c r="N642" s="95"/>
    </row>
    <row r="643" spans="1:14" x14ac:dyDescent="0.45">
      <c r="A643" s="98"/>
      <c r="B643" s="101"/>
      <c r="C643" s="70" t="str">
        <f>"PXIe-7820R/DIO" &amp; D643</f>
        <v>PXIe-7820R/DIO86</v>
      </c>
      <c r="D643" s="30">
        <f t="shared" si="210"/>
        <v>86</v>
      </c>
      <c r="E643" s="30" t="str">
        <f t="shared" si="209"/>
        <v>PFGA DI (DI State)</v>
      </c>
      <c r="F643" s="30" t="str">
        <f t="shared" si="209"/>
        <v>DI</v>
      </c>
      <c r="G643" s="30" t="str">
        <f t="shared" si="202"/>
        <v>ATE/IO119/DI</v>
      </c>
      <c r="H643" s="90" t="str">
        <f>Paths!$B$3 &amp; I643 &amp; Paths!$B$8</f>
        <v>Targets/Controller/Custom Devices/FPGA Addon/Scalars/Scalar Inputs/DI.IO119/STATE</v>
      </c>
      <c r="I643" s="33" t="str">
        <f>I642</f>
        <v>IO119</v>
      </c>
      <c r="J643" s="104"/>
      <c r="K643" s="104"/>
      <c r="L643" s="107"/>
      <c r="M643" s="92"/>
      <c r="N643" s="95"/>
    </row>
    <row r="644" spans="1:14" x14ac:dyDescent="0.45">
      <c r="A644" s="98"/>
      <c r="B644" s="101"/>
      <c r="C644" s="70" t="str">
        <f>"PXIe-7820R/DIO" &amp; D644</f>
        <v>PXIe-7820R/DIO86</v>
      </c>
      <c r="D644" s="30">
        <f t="shared" si="210"/>
        <v>86</v>
      </c>
      <c r="E644" s="30" t="str">
        <f t="shared" si="209"/>
        <v>FPGA DI (PWM Meas.)</v>
      </c>
      <c r="F644" s="30" t="str">
        <f t="shared" si="209"/>
        <v>PWM_TIMEOUT</v>
      </c>
      <c r="G644" s="30" t="str">
        <f t="shared" si="202"/>
        <v>ATE/IO119/PWM_TIMEOUT</v>
      </c>
      <c r="H644" s="40" t="str">
        <f>Paths!$B$5 &amp; I644 &amp; Paths!$B$11</f>
        <v>Targets/Controller/Custom Devices/FPGA Addon/Scalars/Scalar Outputs/PWM.Set.IO119/TIMEOUT</v>
      </c>
      <c r="I644" s="33" t="str">
        <f>"IO" &amp; A641</f>
        <v>IO119</v>
      </c>
      <c r="J644" s="104"/>
      <c r="K644" s="104"/>
      <c r="L644" s="107"/>
      <c r="M644" s="92"/>
      <c r="N644" s="95"/>
    </row>
    <row r="645" spans="1:14" x14ac:dyDescent="0.45">
      <c r="A645" s="98"/>
      <c r="B645" s="101"/>
      <c r="C645" s="70" t="str">
        <f>"SLSC-12202-1/P" &amp; ROUNDDOWN(D645/8,0) &amp; "." &amp; MOD(D645,8)</f>
        <v>SLSC-12202-1/P2.6</v>
      </c>
      <c r="D645" s="30">
        <f t="shared" si="210"/>
        <v>22</v>
      </c>
      <c r="E645" s="30" t="str">
        <f t="shared" si="209"/>
        <v>Input</v>
      </c>
      <c r="F645" s="30" t="str">
        <f t="shared" si="209"/>
        <v>None</v>
      </c>
      <c r="G645" s="30" t="str">
        <f t="shared" si="202"/>
        <v>None</v>
      </c>
      <c r="H645" s="36" t="str">
        <f>Paths!$B$17 &amp; "port" &amp; ROUNDDOWN(D645/8,0) &amp; "//line" &amp;MOD(D645,8) &amp;"/Properties/NI.Line.Direction"</f>
        <v>Targets/Controller/Hardware/SLSC/SLSC Chassis/Modules/Slot 6 (SLSC EDS)/Physical Channels/port2//line6/Properties/NI.Line.Direction</v>
      </c>
      <c r="I645" s="33" t="str">
        <f>"IO" &amp; A641</f>
        <v>IO119</v>
      </c>
      <c r="J645" s="104"/>
      <c r="K645" s="104"/>
      <c r="L645" s="107"/>
      <c r="M645" s="92"/>
      <c r="N645" s="95"/>
    </row>
    <row r="646" spans="1:14" x14ac:dyDescent="0.45">
      <c r="A646" s="98"/>
      <c r="B646" s="101"/>
      <c r="C646" s="70" t="str">
        <f>"PXIe-6375/AI" &amp; D646</f>
        <v>PXIe-6375/AI118</v>
      </c>
      <c r="D646" s="30">
        <f t="shared" si="210"/>
        <v>118</v>
      </c>
      <c r="E646" s="56" t="str">
        <f t="shared" si="209"/>
        <v>Scaled current 0-8 A</v>
      </c>
      <c r="F646" s="30" t="str">
        <f t="shared" si="209"/>
        <v>TBD</v>
      </c>
      <c r="G646" s="30" t="str">
        <f t="shared" si="202"/>
        <v>None</v>
      </c>
      <c r="H646" s="41" t="str">
        <f>Paths!$B$27 &amp; I646 &amp; Paths!$B$29</f>
        <v>Targets/Controller/Calculated Channels/ATE/IO119/AI</v>
      </c>
      <c r="I646" s="33" t="str">
        <f>"IO" &amp; A641</f>
        <v>IO119</v>
      </c>
      <c r="J646" s="104"/>
      <c r="K646" s="104"/>
      <c r="L646" s="107"/>
      <c r="M646" s="92"/>
      <c r="N646" s="95"/>
    </row>
    <row r="647" spans="1:14" ht="14.65" thickBot="1" x14ac:dyDescent="0.5">
      <c r="A647" s="99"/>
      <c r="B647" s="102"/>
      <c r="C647" s="71" t="str">
        <f>"SLSC-12251-1/Ch" &amp; D647 &amp; "_DUT"</f>
        <v>SLSC-12251-1/Ch6_DUT</v>
      </c>
      <c r="D647" s="31">
        <f t="shared" si="210"/>
        <v>6</v>
      </c>
      <c r="E647" s="31" t="str">
        <f t="shared" si="209"/>
        <v>FIU</v>
      </c>
      <c r="F647" s="31" t="str">
        <f t="shared" si="209"/>
        <v>TBD</v>
      </c>
      <c r="G647" s="31" t="str">
        <f t="shared" si="202"/>
        <v>None</v>
      </c>
      <c r="H647" s="42" t="str">
        <f>Paths!$B$14 &amp; D647</f>
        <v>Targets/Controller/Hardware/SLSC/SLSC Chassis/Modules/Slot 2 (SLSC EDS :: SLSC-12251)/Physical Channels/Channel_6</v>
      </c>
      <c r="I647" s="59" t="str">
        <f>"IO" &amp; A641</f>
        <v>IO119</v>
      </c>
      <c r="J647" s="105"/>
      <c r="K647" s="105"/>
      <c r="L647" s="108"/>
      <c r="M647" s="93"/>
      <c r="N647" s="96"/>
    </row>
    <row r="648" spans="1:14" ht="15" customHeight="1" x14ac:dyDescent="0.45">
      <c r="A648" s="97">
        <f>A641+1</f>
        <v>120</v>
      </c>
      <c r="B648" s="100" t="str">
        <f>B641</f>
        <v>HIGH LOAD
DI: 0-60 V
AI: 0-60 V
EXT LOAD</v>
      </c>
      <c r="C648" s="69" t="str">
        <f>"PXIe-7820R/DIO" &amp; D648</f>
        <v>PXIe-7820R/DIO87</v>
      </c>
      <c r="D648" s="29">
        <f t="shared" si="210"/>
        <v>87</v>
      </c>
      <c r="E648" s="55" t="str">
        <f t="shared" si="209"/>
        <v>FPGA DI (PWM Meas.)</v>
      </c>
      <c r="F648" s="55" t="str">
        <f t="shared" si="209"/>
        <v>PWM_FR</v>
      </c>
      <c r="G648" s="29" t="str">
        <f t="shared" si="202"/>
        <v>ATE/IO120/PWM_FR</v>
      </c>
      <c r="H648" s="39" t="str">
        <f>Paths!$B$4 &amp; I648 &amp; Paths!$B$9</f>
        <v>Targets/Controller/Custom Devices/FPGA Addon/Scalars/Scalar Inputs/PWM.In.IO120/FREQ</v>
      </c>
      <c r="I648" s="32" t="str">
        <f>"IO" &amp; A648</f>
        <v>IO120</v>
      </c>
      <c r="J648" s="103" t="s">
        <v>6</v>
      </c>
      <c r="K648" s="103" t="s">
        <v>7</v>
      </c>
      <c r="L648" s="106"/>
      <c r="M648" s="91"/>
      <c r="N648" s="94"/>
    </row>
    <row r="649" spans="1:14" x14ac:dyDescent="0.45">
      <c r="A649" s="98"/>
      <c r="B649" s="101"/>
      <c r="C649" s="70" t="str">
        <f>"PXIe-7820R/DIO" &amp; D649</f>
        <v>PXIe-7820R/DIO87</v>
      </c>
      <c r="D649" s="30">
        <f t="shared" si="210"/>
        <v>87</v>
      </c>
      <c r="E649" s="30" t="str">
        <f t="shared" si="209"/>
        <v>FPGA DI (PWM Meas.)</v>
      </c>
      <c r="F649" s="30" t="str">
        <f t="shared" si="209"/>
        <v>PWM_DC</v>
      </c>
      <c r="G649" s="30" t="str">
        <f t="shared" si="202"/>
        <v>ATE/IO120/PWM_DC</v>
      </c>
      <c r="H649" s="40" t="str">
        <f>Paths!$B$4 &amp; I649 &amp; Paths!$B$10</f>
        <v>Targets/Controller/Custom Devices/FPGA Addon/Scalars/Scalar Inputs/PWM.In.IO120/DC</v>
      </c>
      <c r="I649" s="33" t="str">
        <f>"IO" &amp; A648</f>
        <v>IO120</v>
      </c>
      <c r="J649" s="104"/>
      <c r="K649" s="104"/>
      <c r="L649" s="107"/>
      <c r="M649" s="92"/>
      <c r="N649" s="95"/>
    </row>
    <row r="650" spans="1:14" x14ac:dyDescent="0.45">
      <c r="A650" s="98"/>
      <c r="B650" s="101"/>
      <c r="C650" s="70" t="str">
        <f>"PXIe-7820R/DIO" &amp; D650</f>
        <v>PXIe-7820R/DIO87</v>
      </c>
      <c r="D650" s="30">
        <f t="shared" si="210"/>
        <v>87</v>
      </c>
      <c r="E650" s="30" t="str">
        <f t="shared" si="209"/>
        <v>PFGA DI (DI State)</v>
      </c>
      <c r="F650" s="30" t="str">
        <f t="shared" si="209"/>
        <v>DI</v>
      </c>
      <c r="G650" s="30" t="str">
        <f t="shared" si="202"/>
        <v>ATE/IO120/DI</v>
      </c>
      <c r="H650" s="90" t="str">
        <f>Paths!$B$3 &amp; I650 &amp; Paths!$B$8</f>
        <v>Targets/Controller/Custom Devices/FPGA Addon/Scalars/Scalar Inputs/DI.IO120/STATE</v>
      </c>
      <c r="I650" s="33" t="str">
        <f>I649</f>
        <v>IO120</v>
      </c>
      <c r="J650" s="104"/>
      <c r="K650" s="104"/>
      <c r="L650" s="107"/>
      <c r="M650" s="92"/>
      <c r="N650" s="95"/>
    </row>
    <row r="651" spans="1:14" x14ac:dyDescent="0.45">
      <c r="A651" s="98"/>
      <c r="B651" s="101"/>
      <c r="C651" s="70" t="str">
        <f>"PXIe-7820R/DIO" &amp; D651</f>
        <v>PXIe-7820R/DIO87</v>
      </c>
      <c r="D651" s="30">
        <f t="shared" si="210"/>
        <v>87</v>
      </c>
      <c r="E651" s="30" t="str">
        <f t="shared" si="209"/>
        <v>FPGA DI (PWM Meas.)</v>
      </c>
      <c r="F651" s="30" t="str">
        <f t="shared" si="209"/>
        <v>PWM_TIMEOUT</v>
      </c>
      <c r="G651" s="30" t="str">
        <f t="shared" si="202"/>
        <v>ATE/IO120/PWM_TIMEOUT</v>
      </c>
      <c r="H651" s="40" t="str">
        <f>Paths!$B$5 &amp; I651 &amp; Paths!$B$11</f>
        <v>Targets/Controller/Custom Devices/FPGA Addon/Scalars/Scalar Outputs/PWM.Set.IO120/TIMEOUT</v>
      </c>
      <c r="I651" s="33" t="str">
        <f>"IO" &amp; A648</f>
        <v>IO120</v>
      </c>
      <c r="J651" s="104"/>
      <c r="K651" s="104"/>
      <c r="L651" s="107"/>
      <c r="M651" s="92"/>
      <c r="N651" s="95"/>
    </row>
    <row r="652" spans="1:14" x14ac:dyDescent="0.45">
      <c r="A652" s="98"/>
      <c r="B652" s="101"/>
      <c r="C652" s="70" t="str">
        <f>"SLSC-12202-1/P" &amp; ROUNDDOWN(D652/8,0) &amp; "." &amp; MOD(D652,8)</f>
        <v>SLSC-12202-1/P2.7</v>
      </c>
      <c r="D652" s="30">
        <f t="shared" si="210"/>
        <v>23</v>
      </c>
      <c r="E652" s="30" t="str">
        <f t="shared" si="209"/>
        <v>Input</v>
      </c>
      <c r="F652" s="30" t="str">
        <f t="shared" si="209"/>
        <v>None</v>
      </c>
      <c r="G652" s="30" t="str">
        <f t="shared" si="202"/>
        <v>None</v>
      </c>
      <c r="H652" s="36" t="str">
        <f>Paths!$B$17 &amp; "port" &amp; ROUNDDOWN(D652/8,0) &amp; "//line" &amp;MOD(D652,8) &amp;"/Properties/NI.Line.Direction"</f>
        <v>Targets/Controller/Hardware/SLSC/SLSC Chassis/Modules/Slot 6 (SLSC EDS)/Physical Channels/port2//line7/Properties/NI.Line.Direction</v>
      </c>
      <c r="I652" s="33" t="str">
        <f>"IO" &amp; A648</f>
        <v>IO120</v>
      </c>
      <c r="J652" s="104"/>
      <c r="K652" s="104"/>
      <c r="L652" s="107"/>
      <c r="M652" s="92"/>
      <c r="N652" s="95"/>
    </row>
    <row r="653" spans="1:14" x14ac:dyDescent="0.45">
      <c r="A653" s="98"/>
      <c r="B653" s="101"/>
      <c r="C653" s="70" t="str">
        <f>"PXIe-6375/AI" &amp; D653</f>
        <v>PXIe-6375/AI119</v>
      </c>
      <c r="D653" s="30">
        <f t="shared" si="210"/>
        <v>119</v>
      </c>
      <c r="E653" s="56" t="str">
        <f t="shared" si="209"/>
        <v>Scaled current 0-8 A</v>
      </c>
      <c r="F653" s="30" t="str">
        <f t="shared" si="209"/>
        <v>TBD</v>
      </c>
      <c r="G653" s="30" t="str">
        <f t="shared" si="202"/>
        <v>None</v>
      </c>
      <c r="H653" s="41" t="str">
        <f>Paths!$B$27 &amp; I653 &amp; Paths!$B$29</f>
        <v>Targets/Controller/Calculated Channels/ATE/IO120/AI</v>
      </c>
      <c r="I653" s="33" t="str">
        <f>"IO" &amp; A648</f>
        <v>IO120</v>
      </c>
      <c r="J653" s="104"/>
      <c r="K653" s="104"/>
      <c r="L653" s="107"/>
      <c r="M653" s="92"/>
      <c r="N653" s="95"/>
    </row>
    <row r="654" spans="1:14" ht="14.65" thickBot="1" x14ac:dyDescent="0.5">
      <c r="A654" s="99"/>
      <c r="B654" s="102"/>
      <c r="C654" s="71" t="str">
        <f>"SLSC-12251-1/Ch" &amp; D654 &amp; "_DUT"</f>
        <v>SLSC-12251-1/Ch7_DUT</v>
      </c>
      <c r="D654" s="31">
        <f t="shared" si="210"/>
        <v>7</v>
      </c>
      <c r="E654" s="31" t="str">
        <f t="shared" ref="E654:F673" si="211">E647</f>
        <v>FIU</v>
      </c>
      <c r="F654" s="31" t="str">
        <f t="shared" si="211"/>
        <v>TBD</v>
      </c>
      <c r="G654" s="31" t="str">
        <f t="shared" si="202"/>
        <v>None</v>
      </c>
      <c r="H654" s="42" t="str">
        <f>Paths!$B$14 &amp; D654</f>
        <v>Targets/Controller/Hardware/SLSC/SLSC Chassis/Modules/Slot 2 (SLSC EDS :: SLSC-12251)/Physical Channels/Channel_7</v>
      </c>
      <c r="I654" s="59" t="str">
        <f>"IO" &amp; A648</f>
        <v>IO120</v>
      </c>
      <c r="J654" s="105"/>
      <c r="K654" s="105"/>
      <c r="L654" s="108"/>
      <c r="M654" s="93"/>
      <c r="N654" s="96"/>
    </row>
    <row r="655" spans="1:14" ht="15" customHeight="1" x14ac:dyDescent="0.45">
      <c r="A655" s="97">
        <f>A648+1</f>
        <v>121</v>
      </c>
      <c r="B655" s="100" t="str">
        <f>B648</f>
        <v>HIGH LOAD
DI: 0-60 V
AI: 0-60 V
EXT LOAD</v>
      </c>
      <c r="C655" s="69" t="str">
        <f>"PXIe-7820R/DIO" &amp; D655</f>
        <v>PXIe-7820R/DIO88</v>
      </c>
      <c r="D655" s="29">
        <f t="shared" si="210"/>
        <v>88</v>
      </c>
      <c r="E655" s="55" t="str">
        <f t="shared" si="211"/>
        <v>FPGA DI (PWM Meas.)</v>
      </c>
      <c r="F655" s="55" t="str">
        <f t="shared" si="211"/>
        <v>PWM_FR</v>
      </c>
      <c r="G655" s="29" t="str">
        <f t="shared" si="202"/>
        <v>ATE/IO121/PWM_FR</v>
      </c>
      <c r="H655" s="39" t="str">
        <f>Paths!$B$4 &amp; I655 &amp; Paths!$B$9</f>
        <v>Targets/Controller/Custom Devices/FPGA Addon/Scalars/Scalar Inputs/PWM.In.IO121/FREQ</v>
      </c>
      <c r="I655" s="32" t="str">
        <f>"IO" &amp; A655</f>
        <v>IO121</v>
      </c>
      <c r="J655" s="103" t="s">
        <v>6</v>
      </c>
      <c r="K655" s="103" t="s">
        <v>7</v>
      </c>
      <c r="L655" s="106"/>
      <c r="M655" s="91"/>
      <c r="N655" s="94"/>
    </row>
    <row r="656" spans="1:14" x14ac:dyDescent="0.45">
      <c r="A656" s="98"/>
      <c r="B656" s="101"/>
      <c r="C656" s="70" t="str">
        <f>"PXIe-7820R/DIO" &amp; D656</f>
        <v>PXIe-7820R/DIO88</v>
      </c>
      <c r="D656" s="30">
        <f t="shared" si="210"/>
        <v>88</v>
      </c>
      <c r="E656" s="30" t="str">
        <f t="shared" si="211"/>
        <v>FPGA DI (PWM Meas.)</v>
      </c>
      <c r="F656" s="30" t="str">
        <f t="shared" si="211"/>
        <v>PWM_DC</v>
      </c>
      <c r="G656" s="30" t="str">
        <f t="shared" si="202"/>
        <v>ATE/IO121/PWM_DC</v>
      </c>
      <c r="H656" s="40" t="str">
        <f>Paths!$B$4 &amp; I656 &amp; Paths!$B$10</f>
        <v>Targets/Controller/Custom Devices/FPGA Addon/Scalars/Scalar Inputs/PWM.In.IO121/DC</v>
      </c>
      <c r="I656" s="33" t="str">
        <f>"IO" &amp; A655</f>
        <v>IO121</v>
      </c>
      <c r="J656" s="104"/>
      <c r="K656" s="104"/>
      <c r="L656" s="107"/>
      <c r="M656" s="92"/>
      <c r="N656" s="95"/>
    </row>
    <row r="657" spans="1:14" x14ac:dyDescent="0.45">
      <c r="A657" s="98"/>
      <c r="B657" s="101"/>
      <c r="C657" s="70" t="str">
        <f>"PXIe-7820R/DIO" &amp; D657</f>
        <v>PXIe-7820R/DIO88</v>
      </c>
      <c r="D657" s="30">
        <f t="shared" si="210"/>
        <v>88</v>
      </c>
      <c r="E657" s="30" t="str">
        <f t="shared" si="211"/>
        <v>PFGA DI (DI State)</v>
      </c>
      <c r="F657" s="30" t="str">
        <f t="shared" si="211"/>
        <v>DI</v>
      </c>
      <c r="G657" s="30" t="str">
        <f t="shared" si="202"/>
        <v>ATE/IO121/DI</v>
      </c>
      <c r="H657" s="90" t="str">
        <f>Paths!$B$3 &amp; I657 &amp; Paths!$B$8</f>
        <v>Targets/Controller/Custom Devices/FPGA Addon/Scalars/Scalar Inputs/DI.IO121/STATE</v>
      </c>
      <c r="I657" s="33" t="str">
        <f>I656</f>
        <v>IO121</v>
      </c>
      <c r="J657" s="104"/>
      <c r="K657" s="104"/>
      <c r="L657" s="107"/>
      <c r="M657" s="92"/>
      <c r="N657" s="95"/>
    </row>
    <row r="658" spans="1:14" x14ac:dyDescent="0.45">
      <c r="A658" s="98"/>
      <c r="B658" s="101"/>
      <c r="C658" s="70" t="str">
        <f>"PXIe-7820R/DIO" &amp; D658</f>
        <v>PXIe-7820R/DIO88</v>
      </c>
      <c r="D658" s="30">
        <f t="shared" si="210"/>
        <v>88</v>
      </c>
      <c r="E658" s="30" t="str">
        <f t="shared" si="211"/>
        <v>FPGA DI (PWM Meas.)</v>
      </c>
      <c r="F658" s="30" t="str">
        <f t="shared" si="211"/>
        <v>PWM_TIMEOUT</v>
      </c>
      <c r="G658" s="30" t="str">
        <f t="shared" si="202"/>
        <v>ATE/IO121/PWM_TIMEOUT</v>
      </c>
      <c r="H658" s="40" t="str">
        <f>Paths!$B$5 &amp; I658 &amp; Paths!$B$11</f>
        <v>Targets/Controller/Custom Devices/FPGA Addon/Scalars/Scalar Outputs/PWM.Set.IO121/TIMEOUT</v>
      </c>
      <c r="I658" s="33" t="str">
        <f>"IO" &amp; A655</f>
        <v>IO121</v>
      </c>
      <c r="J658" s="104"/>
      <c r="K658" s="104"/>
      <c r="L658" s="107"/>
      <c r="M658" s="92"/>
      <c r="N658" s="95"/>
    </row>
    <row r="659" spans="1:14" x14ac:dyDescent="0.45">
      <c r="A659" s="98"/>
      <c r="B659" s="101"/>
      <c r="C659" s="70" t="str">
        <f>"SLSC-12202-1/P" &amp; ROUNDDOWN(D659/8,0) &amp; "." &amp; MOD(D659,8)</f>
        <v>SLSC-12202-1/P3.0</v>
      </c>
      <c r="D659" s="30">
        <f t="shared" ref="D659" si="212">D652+1</f>
        <v>24</v>
      </c>
      <c r="E659" s="30" t="str">
        <f t="shared" si="211"/>
        <v>Input</v>
      </c>
      <c r="F659" s="30" t="str">
        <f t="shared" si="211"/>
        <v>None</v>
      </c>
      <c r="G659" s="30" t="str">
        <f t="shared" si="202"/>
        <v>None</v>
      </c>
      <c r="H659" s="36" t="str">
        <f>Paths!$B$17 &amp; "port" &amp; ROUNDDOWN(D659/8,0) &amp; "//line" &amp;MOD(D659,8) &amp;"/Properties/NI.Line.Direction"</f>
        <v>Targets/Controller/Hardware/SLSC/SLSC Chassis/Modules/Slot 6 (SLSC EDS)/Physical Channels/port3//line0/Properties/NI.Line.Direction</v>
      </c>
      <c r="I659" s="33" t="str">
        <f>"IO" &amp; A655</f>
        <v>IO121</v>
      </c>
      <c r="J659" s="104"/>
      <c r="K659" s="104"/>
      <c r="L659" s="107"/>
      <c r="M659" s="92"/>
      <c r="N659" s="95"/>
    </row>
    <row r="660" spans="1:14" x14ac:dyDescent="0.45">
      <c r="A660" s="98"/>
      <c r="B660" s="101"/>
      <c r="C660" s="70" t="str">
        <f>"PXIe-6375/AI" &amp; D660</f>
        <v>PXIe-6375/AI128</v>
      </c>
      <c r="D660" s="45">
        <v>128</v>
      </c>
      <c r="E660" s="56" t="str">
        <f t="shared" si="211"/>
        <v>Scaled current 0-8 A</v>
      </c>
      <c r="F660" s="30" t="str">
        <f t="shared" si="211"/>
        <v>TBD</v>
      </c>
      <c r="G660" s="30" t="str">
        <f t="shared" si="202"/>
        <v>None</v>
      </c>
      <c r="H660" s="41" t="str">
        <f>Paths!$B$27 &amp; I660 &amp; Paths!$B$29</f>
        <v>Targets/Controller/Calculated Channels/ATE/IO121/AI</v>
      </c>
      <c r="I660" s="33" t="str">
        <f>"IO" &amp; A655</f>
        <v>IO121</v>
      </c>
      <c r="J660" s="104"/>
      <c r="K660" s="104"/>
      <c r="L660" s="107"/>
      <c r="M660" s="92"/>
      <c r="N660" s="95"/>
    </row>
    <row r="661" spans="1:14" ht="14.65" thickBot="1" x14ac:dyDescent="0.5">
      <c r="A661" s="99"/>
      <c r="B661" s="102"/>
      <c r="C661" s="71" t="str">
        <f>"SLSC-12251-2/Ch" &amp; D661 &amp; "_DUT"</f>
        <v>SLSC-12251-2/Ch0_DUT</v>
      </c>
      <c r="D661" s="46">
        <v>0</v>
      </c>
      <c r="E661" s="31" t="str">
        <f t="shared" si="211"/>
        <v>FIU</v>
      </c>
      <c r="F661" s="31" t="str">
        <f t="shared" si="211"/>
        <v>TBD</v>
      </c>
      <c r="G661" s="31" t="str">
        <f t="shared" si="202"/>
        <v>None</v>
      </c>
      <c r="H661" s="42" t="str">
        <f>Paths!$B$14 &amp; D661</f>
        <v>Targets/Controller/Hardware/SLSC/SLSC Chassis/Modules/Slot 2 (SLSC EDS :: SLSC-12251)/Physical Channels/Channel_0</v>
      </c>
      <c r="I661" s="59" t="str">
        <f>"IO" &amp; A655</f>
        <v>IO121</v>
      </c>
      <c r="J661" s="105"/>
      <c r="K661" s="105"/>
      <c r="L661" s="108"/>
      <c r="M661" s="93"/>
      <c r="N661" s="96"/>
    </row>
    <row r="662" spans="1:14" ht="15" customHeight="1" x14ac:dyDescent="0.45">
      <c r="A662" s="97">
        <f>A655+1</f>
        <v>122</v>
      </c>
      <c r="B662" s="100" t="str">
        <f>B655</f>
        <v>HIGH LOAD
DI: 0-60 V
AI: 0-60 V
EXT LOAD</v>
      </c>
      <c r="C662" s="69" t="str">
        <f>"PXIe-7820R/DIO" &amp; D662</f>
        <v>PXIe-7820R/DIO89</v>
      </c>
      <c r="D662" s="29">
        <f t="shared" ref="D662:D693" si="213">D655+1</f>
        <v>89</v>
      </c>
      <c r="E662" s="55" t="str">
        <f t="shared" si="211"/>
        <v>FPGA DI (PWM Meas.)</v>
      </c>
      <c r="F662" s="55" t="str">
        <f t="shared" si="211"/>
        <v>PWM_FR</v>
      </c>
      <c r="G662" s="29" t="str">
        <f t="shared" si="202"/>
        <v>ATE/IO122/PWM_FR</v>
      </c>
      <c r="H662" s="39" t="str">
        <f>Paths!$B$4 &amp; I662 &amp; Paths!$B$9</f>
        <v>Targets/Controller/Custom Devices/FPGA Addon/Scalars/Scalar Inputs/PWM.In.IO122/FREQ</v>
      </c>
      <c r="I662" s="32" t="str">
        <f>"IO" &amp; A662</f>
        <v>IO122</v>
      </c>
      <c r="J662" s="103" t="s">
        <v>6</v>
      </c>
      <c r="K662" s="103" t="s">
        <v>7</v>
      </c>
      <c r="L662" s="106"/>
      <c r="M662" s="91"/>
      <c r="N662" s="94"/>
    </row>
    <row r="663" spans="1:14" x14ac:dyDescent="0.45">
      <c r="A663" s="98"/>
      <c r="B663" s="101"/>
      <c r="C663" s="70" t="str">
        <f>"PXIe-7820R/DIO" &amp; D663</f>
        <v>PXIe-7820R/DIO89</v>
      </c>
      <c r="D663" s="30">
        <f t="shared" si="213"/>
        <v>89</v>
      </c>
      <c r="E663" s="30" t="str">
        <f t="shared" si="211"/>
        <v>FPGA DI (PWM Meas.)</v>
      </c>
      <c r="F663" s="30" t="str">
        <f t="shared" si="211"/>
        <v>PWM_DC</v>
      </c>
      <c r="G663" s="30" t="str">
        <f t="shared" si="202"/>
        <v>ATE/IO122/PWM_DC</v>
      </c>
      <c r="H663" s="40" t="str">
        <f>Paths!$B$4 &amp; I663 &amp; Paths!$B$10</f>
        <v>Targets/Controller/Custom Devices/FPGA Addon/Scalars/Scalar Inputs/PWM.In.IO122/DC</v>
      </c>
      <c r="I663" s="33" t="str">
        <f>"IO" &amp; A662</f>
        <v>IO122</v>
      </c>
      <c r="J663" s="104"/>
      <c r="K663" s="104"/>
      <c r="L663" s="107"/>
      <c r="M663" s="92"/>
      <c r="N663" s="95"/>
    </row>
    <row r="664" spans="1:14" x14ac:dyDescent="0.45">
      <c r="A664" s="98"/>
      <c r="B664" s="101"/>
      <c r="C664" s="70" t="str">
        <f>"PXIe-7820R/DIO" &amp; D664</f>
        <v>PXIe-7820R/DIO89</v>
      </c>
      <c r="D664" s="30">
        <f t="shared" si="213"/>
        <v>89</v>
      </c>
      <c r="E664" s="30" t="str">
        <f t="shared" si="211"/>
        <v>PFGA DI (DI State)</v>
      </c>
      <c r="F664" s="30" t="str">
        <f t="shared" si="211"/>
        <v>DI</v>
      </c>
      <c r="G664" s="30" t="str">
        <f t="shared" si="202"/>
        <v>ATE/IO122/DI</v>
      </c>
      <c r="H664" s="90" t="str">
        <f>Paths!$B$3 &amp; I664 &amp; Paths!$B$8</f>
        <v>Targets/Controller/Custom Devices/FPGA Addon/Scalars/Scalar Inputs/DI.IO122/STATE</v>
      </c>
      <c r="I664" s="33" t="str">
        <f>I663</f>
        <v>IO122</v>
      </c>
      <c r="J664" s="104"/>
      <c r="K664" s="104"/>
      <c r="L664" s="107"/>
      <c r="M664" s="92"/>
      <c r="N664" s="95"/>
    </row>
    <row r="665" spans="1:14" x14ac:dyDescent="0.45">
      <c r="A665" s="98"/>
      <c r="B665" s="101"/>
      <c r="C665" s="70" t="str">
        <f>"PXIe-7820R/DIO" &amp; D665</f>
        <v>PXIe-7820R/DIO89</v>
      </c>
      <c r="D665" s="30">
        <f t="shared" si="213"/>
        <v>89</v>
      </c>
      <c r="E665" s="30" t="str">
        <f t="shared" si="211"/>
        <v>FPGA DI (PWM Meas.)</v>
      </c>
      <c r="F665" s="30" t="str">
        <f t="shared" si="211"/>
        <v>PWM_TIMEOUT</v>
      </c>
      <c r="G665" s="30" t="str">
        <f t="shared" si="202"/>
        <v>ATE/IO122/PWM_TIMEOUT</v>
      </c>
      <c r="H665" s="40" t="str">
        <f>Paths!$B$5 &amp; I665 &amp; Paths!$B$11</f>
        <v>Targets/Controller/Custom Devices/FPGA Addon/Scalars/Scalar Outputs/PWM.Set.IO122/TIMEOUT</v>
      </c>
      <c r="I665" s="33" t="str">
        <f>"IO" &amp; A662</f>
        <v>IO122</v>
      </c>
      <c r="J665" s="104"/>
      <c r="K665" s="104"/>
      <c r="L665" s="107"/>
      <c r="M665" s="92"/>
      <c r="N665" s="95"/>
    </row>
    <row r="666" spans="1:14" x14ac:dyDescent="0.45">
      <c r="A666" s="98"/>
      <c r="B666" s="101"/>
      <c r="C666" s="70" t="str">
        <f>"SLSC-12202-2/P" &amp; ROUNDDOWN(D666/8,0) &amp; "." &amp; MOD(D666,8)</f>
        <v>SLSC-12202-2/P3.1</v>
      </c>
      <c r="D666" s="30">
        <f t="shared" si="213"/>
        <v>25</v>
      </c>
      <c r="E666" s="30" t="str">
        <f t="shared" si="211"/>
        <v>Input</v>
      </c>
      <c r="F666" s="30" t="str">
        <f t="shared" si="211"/>
        <v>None</v>
      </c>
      <c r="G666" s="30" t="str">
        <f t="shared" si="202"/>
        <v>None</v>
      </c>
      <c r="H666" s="36" t="str">
        <f>Paths!$B$17 &amp; "port" &amp; ROUNDDOWN(D666/8,0) &amp; "//line" &amp;MOD(D666,8) &amp;"/Properties/NI.Line.Direction"</f>
        <v>Targets/Controller/Hardware/SLSC/SLSC Chassis/Modules/Slot 6 (SLSC EDS)/Physical Channels/port3//line1/Properties/NI.Line.Direction</v>
      </c>
      <c r="I666" s="33" t="str">
        <f>"IO" &amp; A662</f>
        <v>IO122</v>
      </c>
      <c r="J666" s="104"/>
      <c r="K666" s="104"/>
      <c r="L666" s="107"/>
      <c r="M666" s="92"/>
      <c r="N666" s="95"/>
    </row>
    <row r="667" spans="1:14" x14ac:dyDescent="0.45">
      <c r="A667" s="98"/>
      <c r="B667" s="101"/>
      <c r="C667" s="70" t="str">
        <f>"PXIe-6375/AI" &amp; D667</f>
        <v>PXIe-6375/AI129</v>
      </c>
      <c r="D667" s="30">
        <f t="shared" si="213"/>
        <v>129</v>
      </c>
      <c r="E667" s="56" t="str">
        <f t="shared" si="211"/>
        <v>Scaled current 0-8 A</v>
      </c>
      <c r="F667" s="30" t="str">
        <f t="shared" si="211"/>
        <v>TBD</v>
      </c>
      <c r="G667" s="30" t="str">
        <f t="shared" ref="G667:G754" si="214">IF(OR(F667="None",F667="TBD"),"None",_xlfn.CONCAT("ATE/",I667,"/",F667))</f>
        <v>None</v>
      </c>
      <c r="H667" s="41" t="str">
        <f>Paths!$B$27 &amp; I667 &amp; Paths!$B$29</f>
        <v>Targets/Controller/Calculated Channels/ATE/IO122/AI</v>
      </c>
      <c r="I667" s="33" t="str">
        <f>"IO" &amp; A662</f>
        <v>IO122</v>
      </c>
      <c r="J667" s="104"/>
      <c r="K667" s="104"/>
      <c r="L667" s="107"/>
      <c r="M667" s="92"/>
      <c r="N667" s="95"/>
    </row>
    <row r="668" spans="1:14" ht="14.65" thickBot="1" x14ac:dyDescent="0.5">
      <c r="A668" s="99"/>
      <c r="B668" s="102"/>
      <c r="C668" s="71" t="str">
        <f>"SLSC-12251-2/Ch" &amp; D668 &amp; "_DUT"</f>
        <v>SLSC-12251-2/Ch1_DUT</v>
      </c>
      <c r="D668" s="31">
        <f t="shared" si="213"/>
        <v>1</v>
      </c>
      <c r="E668" s="31" t="str">
        <f t="shared" si="211"/>
        <v>FIU</v>
      </c>
      <c r="F668" s="31" t="str">
        <f t="shared" si="211"/>
        <v>TBD</v>
      </c>
      <c r="G668" s="31" t="str">
        <f t="shared" si="214"/>
        <v>None</v>
      </c>
      <c r="H668" s="42" t="str">
        <f>Paths!$B$14 &amp; D668</f>
        <v>Targets/Controller/Hardware/SLSC/SLSC Chassis/Modules/Slot 2 (SLSC EDS :: SLSC-12251)/Physical Channels/Channel_1</v>
      </c>
      <c r="I668" s="59" t="str">
        <f>"IO" &amp; A662</f>
        <v>IO122</v>
      </c>
      <c r="J668" s="105"/>
      <c r="K668" s="105"/>
      <c r="L668" s="108"/>
      <c r="M668" s="93"/>
      <c r="N668" s="96"/>
    </row>
    <row r="669" spans="1:14" ht="15" customHeight="1" x14ac:dyDescent="0.45">
      <c r="A669" s="97">
        <f>A662+1</f>
        <v>123</v>
      </c>
      <c r="B669" s="100" t="str">
        <f>B662</f>
        <v>HIGH LOAD
DI: 0-60 V
AI: 0-60 V
EXT LOAD</v>
      </c>
      <c r="C669" s="69" t="str">
        <f>"PXIe-7820R/DIO" &amp; D669</f>
        <v>PXIe-7820R/DIO90</v>
      </c>
      <c r="D669" s="29">
        <f t="shared" si="213"/>
        <v>90</v>
      </c>
      <c r="E669" s="55" t="str">
        <f t="shared" si="211"/>
        <v>FPGA DI (PWM Meas.)</v>
      </c>
      <c r="F669" s="55" t="str">
        <f t="shared" si="211"/>
        <v>PWM_FR</v>
      </c>
      <c r="G669" s="29" t="str">
        <f t="shared" si="214"/>
        <v>ATE/IO123/PWM_FR</v>
      </c>
      <c r="H669" s="39" t="str">
        <f>Paths!$B$4 &amp; I669 &amp; Paths!$B$9</f>
        <v>Targets/Controller/Custom Devices/FPGA Addon/Scalars/Scalar Inputs/PWM.In.IO123/FREQ</v>
      </c>
      <c r="I669" s="32" t="str">
        <f>"IO" &amp; A669</f>
        <v>IO123</v>
      </c>
      <c r="J669" s="103" t="s">
        <v>6</v>
      </c>
      <c r="K669" s="103" t="s">
        <v>7</v>
      </c>
      <c r="L669" s="106"/>
      <c r="M669" s="91"/>
      <c r="N669" s="94"/>
    </row>
    <row r="670" spans="1:14" x14ac:dyDescent="0.45">
      <c r="A670" s="98"/>
      <c r="B670" s="101"/>
      <c r="C670" s="70" t="str">
        <f>"PXIe-7820R/DIO" &amp; D670</f>
        <v>PXIe-7820R/DIO90</v>
      </c>
      <c r="D670" s="30">
        <f t="shared" si="213"/>
        <v>90</v>
      </c>
      <c r="E670" s="30" t="str">
        <f t="shared" si="211"/>
        <v>FPGA DI (PWM Meas.)</v>
      </c>
      <c r="F670" s="30" t="str">
        <f t="shared" si="211"/>
        <v>PWM_DC</v>
      </c>
      <c r="G670" s="30" t="str">
        <f t="shared" si="214"/>
        <v>ATE/IO123/PWM_DC</v>
      </c>
      <c r="H670" s="40" t="str">
        <f>Paths!$B$4 &amp; I670 &amp; Paths!$B$10</f>
        <v>Targets/Controller/Custom Devices/FPGA Addon/Scalars/Scalar Inputs/PWM.In.IO123/DC</v>
      </c>
      <c r="I670" s="33" t="str">
        <f>"IO" &amp; A669</f>
        <v>IO123</v>
      </c>
      <c r="J670" s="104"/>
      <c r="K670" s="104"/>
      <c r="L670" s="107"/>
      <c r="M670" s="92"/>
      <c r="N670" s="95"/>
    </row>
    <row r="671" spans="1:14" x14ac:dyDescent="0.45">
      <c r="A671" s="98"/>
      <c r="B671" s="101"/>
      <c r="C671" s="70" t="str">
        <f>"PXIe-7820R/DIO" &amp; D671</f>
        <v>PXIe-7820R/DIO90</v>
      </c>
      <c r="D671" s="30">
        <f t="shared" si="213"/>
        <v>90</v>
      </c>
      <c r="E671" s="30" t="str">
        <f t="shared" si="211"/>
        <v>PFGA DI (DI State)</v>
      </c>
      <c r="F671" s="30" t="str">
        <f t="shared" si="211"/>
        <v>DI</v>
      </c>
      <c r="G671" s="30" t="str">
        <f t="shared" si="214"/>
        <v>ATE/IO123/DI</v>
      </c>
      <c r="H671" s="90" t="str">
        <f>Paths!$B$3 &amp; I671 &amp; Paths!$B$8</f>
        <v>Targets/Controller/Custom Devices/FPGA Addon/Scalars/Scalar Inputs/DI.IO123/STATE</v>
      </c>
      <c r="I671" s="33" t="str">
        <f>I670</f>
        <v>IO123</v>
      </c>
      <c r="J671" s="104"/>
      <c r="K671" s="104"/>
      <c r="L671" s="107"/>
      <c r="M671" s="92"/>
      <c r="N671" s="95"/>
    </row>
    <row r="672" spans="1:14" x14ac:dyDescent="0.45">
      <c r="A672" s="98"/>
      <c r="B672" s="101"/>
      <c r="C672" s="70" t="str">
        <f>"PXIe-7820R/DIO" &amp; D672</f>
        <v>PXIe-7820R/DIO90</v>
      </c>
      <c r="D672" s="30">
        <f t="shared" si="213"/>
        <v>90</v>
      </c>
      <c r="E672" s="30" t="str">
        <f t="shared" si="211"/>
        <v>FPGA DI (PWM Meas.)</v>
      </c>
      <c r="F672" s="30" t="str">
        <f t="shared" si="211"/>
        <v>PWM_TIMEOUT</v>
      </c>
      <c r="G672" s="30" t="str">
        <f t="shared" si="214"/>
        <v>ATE/IO123/PWM_TIMEOUT</v>
      </c>
      <c r="H672" s="40" t="str">
        <f>Paths!$B$5 &amp; I672 &amp; Paths!$B$11</f>
        <v>Targets/Controller/Custom Devices/FPGA Addon/Scalars/Scalar Outputs/PWM.Set.IO123/TIMEOUT</v>
      </c>
      <c r="I672" s="33" t="str">
        <f>"IO" &amp; A669</f>
        <v>IO123</v>
      </c>
      <c r="J672" s="104"/>
      <c r="K672" s="104"/>
      <c r="L672" s="107"/>
      <c r="M672" s="92"/>
      <c r="N672" s="95"/>
    </row>
    <row r="673" spans="1:14" x14ac:dyDescent="0.45">
      <c r="A673" s="98"/>
      <c r="B673" s="101"/>
      <c r="C673" s="70" t="str">
        <f>"SLSC-12202-1/P" &amp; ROUNDDOWN(D673/8,0) &amp; "." &amp; MOD(D673,8)</f>
        <v>SLSC-12202-1/P3.2</v>
      </c>
      <c r="D673" s="30">
        <f t="shared" si="213"/>
        <v>26</v>
      </c>
      <c r="E673" s="30" t="str">
        <f t="shared" si="211"/>
        <v>Input</v>
      </c>
      <c r="F673" s="30" t="str">
        <f t="shared" si="211"/>
        <v>None</v>
      </c>
      <c r="G673" s="30" t="str">
        <f t="shared" si="214"/>
        <v>None</v>
      </c>
      <c r="H673" s="36" t="str">
        <f>Paths!$B$17 &amp; "port" &amp; ROUNDDOWN(D673/8,0) &amp; "//line" &amp;MOD(D673,8) &amp;"/Properties/NI.Line.Direction"</f>
        <v>Targets/Controller/Hardware/SLSC/SLSC Chassis/Modules/Slot 6 (SLSC EDS)/Physical Channels/port3//line2/Properties/NI.Line.Direction</v>
      </c>
      <c r="I673" s="33" t="str">
        <f>"IO" &amp; A669</f>
        <v>IO123</v>
      </c>
      <c r="J673" s="104"/>
      <c r="K673" s="104"/>
      <c r="L673" s="107"/>
      <c r="M673" s="92"/>
      <c r="N673" s="95"/>
    </row>
    <row r="674" spans="1:14" x14ac:dyDescent="0.45">
      <c r="A674" s="98"/>
      <c r="B674" s="101"/>
      <c r="C674" s="70" t="str">
        <f>"PXIe-6375/AI" &amp; D674</f>
        <v>PXIe-6375/AI130</v>
      </c>
      <c r="D674" s="30">
        <f t="shared" si="213"/>
        <v>130</v>
      </c>
      <c r="E674" s="56" t="str">
        <f t="shared" ref="E674:F693" si="215">E667</f>
        <v>Scaled current 0-8 A</v>
      </c>
      <c r="F674" s="30" t="str">
        <f t="shared" si="215"/>
        <v>TBD</v>
      </c>
      <c r="G674" s="30" t="str">
        <f t="shared" si="214"/>
        <v>None</v>
      </c>
      <c r="H674" s="41" t="str">
        <f>Paths!$B$27 &amp; I674 &amp; Paths!$B$29</f>
        <v>Targets/Controller/Calculated Channels/ATE/IO123/AI</v>
      </c>
      <c r="I674" s="33" t="str">
        <f>"IO" &amp; A669</f>
        <v>IO123</v>
      </c>
      <c r="J674" s="104"/>
      <c r="K674" s="104"/>
      <c r="L674" s="107"/>
      <c r="M674" s="92"/>
      <c r="N674" s="95"/>
    </row>
    <row r="675" spans="1:14" ht="14.65" thickBot="1" x14ac:dyDescent="0.5">
      <c r="A675" s="99"/>
      <c r="B675" s="102"/>
      <c r="C675" s="71" t="str">
        <f>"SLSC-12251-2/Ch" &amp; D675 &amp; "_DUT"</f>
        <v>SLSC-12251-2/Ch2_DUT</v>
      </c>
      <c r="D675" s="31">
        <f t="shared" si="213"/>
        <v>2</v>
      </c>
      <c r="E675" s="31" t="str">
        <f t="shared" si="215"/>
        <v>FIU</v>
      </c>
      <c r="F675" s="31" t="str">
        <f t="shared" si="215"/>
        <v>TBD</v>
      </c>
      <c r="G675" s="31" t="str">
        <f t="shared" si="214"/>
        <v>None</v>
      </c>
      <c r="H675" s="42" t="str">
        <f>Paths!$B$14 &amp; D675</f>
        <v>Targets/Controller/Hardware/SLSC/SLSC Chassis/Modules/Slot 2 (SLSC EDS :: SLSC-12251)/Physical Channels/Channel_2</v>
      </c>
      <c r="I675" s="59" t="str">
        <f>"IO" &amp; A669</f>
        <v>IO123</v>
      </c>
      <c r="J675" s="105"/>
      <c r="K675" s="105"/>
      <c r="L675" s="108"/>
      <c r="M675" s="93"/>
      <c r="N675" s="96"/>
    </row>
    <row r="676" spans="1:14" ht="15" customHeight="1" x14ac:dyDescent="0.45">
      <c r="A676" s="97">
        <f>A669+1</f>
        <v>124</v>
      </c>
      <c r="B676" s="100" t="str">
        <f>B669</f>
        <v>HIGH LOAD
DI: 0-60 V
AI: 0-60 V
EXT LOAD</v>
      </c>
      <c r="C676" s="69" t="str">
        <f>"PXIe-7820R/DIO" &amp; D676</f>
        <v>PXIe-7820R/DIO91</v>
      </c>
      <c r="D676" s="29">
        <f t="shared" si="213"/>
        <v>91</v>
      </c>
      <c r="E676" s="55" t="str">
        <f t="shared" si="215"/>
        <v>FPGA DI (PWM Meas.)</v>
      </c>
      <c r="F676" s="55" t="str">
        <f t="shared" si="215"/>
        <v>PWM_FR</v>
      </c>
      <c r="G676" s="29" t="str">
        <f t="shared" si="214"/>
        <v>ATE/IO124/PWM_FR</v>
      </c>
      <c r="H676" s="39" t="str">
        <f>Paths!$B$4 &amp; I676 &amp; Paths!$B$9</f>
        <v>Targets/Controller/Custom Devices/FPGA Addon/Scalars/Scalar Inputs/PWM.In.IO124/FREQ</v>
      </c>
      <c r="I676" s="32" t="str">
        <f>"IO" &amp; A676</f>
        <v>IO124</v>
      </c>
      <c r="J676" s="103" t="s">
        <v>6</v>
      </c>
      <c r="K676" s="103" t="s">
        <v>7</v>
      </c>
      <c r="L676" s="106"/>
      <c r="M676" s="91"/>
      <c r="N676" s="94"/>
    </row>
    <row r="677" spans="1:14" x14ac:dyDescent="0.45">
      <c r="A677" s="98"/>
      <c r="B677" s="101"/>
      <c r="C677" s="70" t="str">
        <f>"PXIe-7820R/DIO" &amp; D677</f>
        <v>PXIe-7820R/DIO91</v>
      </c>
      <c r="D677" s="30">
        <f t="shared" si="213"/>
        <v>91</v>
      </c>
      <c r="E677" s="30" t="str">
        <f t="shared" si="215"/>
        <v>FPGA DI (PWM Meas.)</v>
      </c>
      <c r="F677" s="30" t="str">
        <f t="shared" si="215"/>
        <v>PWM_DC</v>
      </c>
      <c r="G677" s="30" t="str">
        <f t="shared" si="214"/>
        <v>ATE/IO124/PWM_DC</v>
      </c>
      <c r="H677" s="40" t="str">
        <f>Paths!$B$4 &amp; I677 &amp; Paths!$B$10</f>
        <v>Targets/Controller/Custom Devices/FPGA Addon/Scalars/Scalar Inputs/PWM.In.IO124/DC</v>
      </c>
      <c r="I677" s="33" t="str">
        <f>"IO" &amp; A676</f>
        <v>IO124</v>
      </c>
      <c r="J677" s="104"/>
      <c r="K677" s="104"/>
      <c r="L677" s="107"/>
      <c r="M677" s="92"/>
      <c r="N677" s="95"/>
    </row>
    <row r="678" spans="1:14" x14ac:dyDescent="0.45">
      <c r="A678" s="98"/>
      <c r="B678" s="101"/>
      <c r="C678" s="70" t="str">
        <f>"PXIe-7820R/DIO" &amp; D678</f>
        <v>PXIe-7820R/DIO91</v>
      </c>
      <c r="D678" s="30">
        <f t="shared" si="213"/>
        <v>91</v>
      </c>
      <c r="E678" s="30" t="str">
        <f t="shared" si="215"/>
        <v>PFGA DI (DI State)</v>
      </c>
      <c r="F678" s="30" t="str">
        <f t="shared" si="215"/>
        <v>DI</v>
      </c>
      <c r="G678" s="30" t="str">
        <f t="shared" si="214"/>
        <v>ATE/IO124/DI</v>
      </c>
      <c r="H678" s="90" t="str">
        <f>Paths!$B$3 &amp; I678 &amp; Paths!$B$8</f>
        <v>Targets/Controller/Custom Devices/FPGA Addon/Scalars/Scalar Inputs/DI.IO124/STATE</v>
      </c>
      <c r="I678" s="33" t="str">
        <f>I677</f>
        <v>IO124</v>
      </c>
      <c r="J678" s="104"/>
      <c r="K678" s="104"/>
      <c r="L678" s="107"/>
      <c r="M678" s="92"/>
      <c r="N678" s="95"/>
    </row>
    <row r="679" spans="1:14" x14ac:dyDescent="0.45">
      <c r="A679" s="98"/>
      <c r="B679" s="101"/>
      <c r="C679" s="70" t="str">
        <f>"PXIe-7820R/DIO" &amp; D679</f>
        <v>PXIe-7820R/DIO91</v>
      </c>
      <c r="D679" s="30">
        <f t="shared" si="213"/>
        <v>91</v>
      </c>
      <c r="E679" s="30" t="str">
        <f t="shared" si="215"/>
        <v>FPGA DI (PWM Meas.)</v>
      </c>
      <c r="F679" s="30" t="str">
        <f t="shared" si="215"/>
        <v>PWM_TIMEOUT</v>
      </c>
      <c r="G679" s="30" t="str">
        <f t="shared" si="214"/>
        <v>ATE/IO124/PWM_TIMEOUT</v>
      </c>
      <c r="H679" s="40" t="str">
        <f>Paths!$B$5 &amp; I679 &amp; Paths!$B$11</f>
        <v>Targets/Controller/Custom Devices/FPGA Addon/Scalars/Scalar Outputs/PWM.Set.IO124/TIMEOUT</v>
      </c>
      <c r="I679" s="33" t="str">
        <f>"IO" &amp; A676</f>
        <v>IO124</v>
      </c>
      <c r="J679" s="104"/>
      <c r="K679" s="104"/>
      <c r="L679" s="107"/>
      <c r="M679" s="92"/>
      <c r="N679" s="95"/>
    </row>
    <row r="680" spans="1:14" x14ac:dyDescent="0.45">
      <c r="A680" s="98"/>
      <c r="B680" s="101"/>
      <c r="C680" s="70" t="str">
        <f>"SLSC-12202-1/P" &amp; ROUNDDOWN(D680/8,0) &amp; "." &amp; MOD(D680,8)</f>
        <v>SLSC-12202-1/P3.3</v>
      </c>
      <c r="D680" s="30">
        <f t="shared" si="213"/>
        <v>27</v>
      </c>
      <c r="E680" s="30" t="str">
        <f t="shared" si="215"/>
        <v>Input</v>
      </c>
      <c r="F680" s="30" t="str">
        <f t="shared" si="215"/>
        <v>None</v>
      </c>
      <c r="G680" s="30" t="str">
        <f t="shared" si="214"/>
        <v>None</v>
      </c>
      <c r="H680" s="36" t="str">
        <f>Paths!$B$17 &amp; "port" &amp; ROUNDDOWN(D680/8,0) &amp; "//line" &amp;MOD(D680,8) &amp;"/Properties/NI.Line.Direction"</f>
        <v>Targets/Controller/Hardware/SLSC/SLSC Chassis/Modules/Slot 6 (SLSC EDS)/Physical Channels/port3//line3/Properties/NI.Line.Direction</v>
      </c>
      <c r="I680" s="33" t="str">
        <f>"IO" &amp; A676</f>
        <v>IO124</v>
      </c>
      <c r="J680" s="104"/>
      <c r="K680" s="104"/>
      <c r="L680" s="107"/>
      <c r="M680" s="92"/>
      <c r="N680" s="95"/>
    </row>
    <row r="681" spans="1:14" x14ac:dyDescent="0.45">
      <c r="A681" s="98"/>
      <c r="B681" s="101"/>
      <c r="C681" s="70" t="str">
        <f>"PXIe-6375/AI" &amp; D681</f>
        <v>PXIe-6375/AI131</v>
      </c>
      <c r="D681" s="30">
        <f t="shared" si="213"/>
        <v>131</v>
      </c>
      <c r="E681" s="56" t="str">
        <f t="shared" si="215"/>
        <v>Scaled current 0-8 A</v>
      </c>
      <c r="F681" s="30" t="str">
        <f t="shared" si="215"/>
        <v>TBD</v>
      </c>
      <c r="G681" s="30" t="str">
        <f t="shared" si="214"/>
        <v>None</v>
      </c>
      <c r="H681" s="41" t="str">
        <f>Paths!$B$27 &amp; I681 &amp; Paths!$B$29</f>
        <v>Targets/Controller/Calculated Channels/ATE/IO124/AI</v>
      </c>
      <c r="I681" s="33" t="str">
        <f>"IO" &amp; A676</f>
        <v>IO124</v>
      </c>
      <c r="J681" s="104"/>
      <c r="K681" s="104"/>
      <c r="L681" s="107"/>
      <c r="M681" s="92"/>
      <c r="N681" s="95"/>
    </row>
    <row r="682" spans="1:14" ht="14.65" thickBot="1" x14ac:dyDescent="0.5">
      <c r="A682" s="99"/>
      <c r="B682" s="102"/>
      <c r="C682" s="71" t="str">
        <f>"SLSC-12251-2/Ch" &amp; D682 &amp; "_DUT"</f>
        <v>SLSC-12251-2/Ch3_DUT</v>
      </c>
      <c r="D682" s="31">
        <f t="shared" si="213"/>
        <v>3</v>
      </c>
      <c r="E682" s="31" t="str">
        <f t="shared" si="215"/>
        <v>FIU</v>
      </c>
      <c r="F682" s="31" t="str">
        <f t="shared" si="215"/>
        <v>TBD</v>
      </c>
      <c r="G682" s="31" t="str">
        <f t="shared" si="214"/>
        <v>None</v>
      </c>
      <c r="H682" s="42" t="str">
        <f>Paths!$B$14 &amp; D682</f>
        <v>Targets/Controller/Hardware/SLSC/SLSC Chassis/Modules/Slot 2 (SLSC EDS :: SLSC-12251)/Physical Channels/Channel_3</v>
      </c>
      <c r="I682" s="59" t="str">
        <f>"IO" &amp; A676</f>
        <v>IO124</v>
      </c>
      <c r="J682" s="105"/>
      <c r="K682" s="105"/>
      <c r="L682" s="108"/>
      <c r="M682" s="93"/>
      <c r="N682" s="96"/>
    </row>
    <row r="683" spans="1:14" ht="15" customHeight="1" x14ac:dyDescent="0.45">
      <c r="A683" s="97">
        <f>A676+1</f>
        <v>125</v>
      </c>
      <c r="B683" s="100" t="str">
        <f>B676</f>
        <v>HIGH LOAD
DI: 0-60 V
AI: 0-60 V
EXT LOAD</v>
      </c>
      <c r="C683" s="69" t="str">
        <f>"PXIe-7820R/DIO" &amp; D683</f>
        <v>PXIe-7820R/DIO92</v>
      </c>
      <c r="D683" s="29">
        <f t="shared" si="213"/>
        <v>92</v>
      </c>
      <c r="E683" s="55" t="str">
        <f t="shared" si="215"/>
        <v>FPGA DI (PWM Meas.)</v>
      </c>
      <c r="F683" s="55" t="str">
        <f t="shared" si="215"/>
        <v>PWM_FR</v>
      </c>
      <c r="G683" s="29" t="str">
        <f t="shared" si="214"/>
        <v>ATE/IO125/PWM_FR</v>
      </c>
      <c r="H683" s="39" t="str">
        <f>Paths!$B$4 &amp; I683 &amp; Paths!$B$9</f>
        <v>Targets/Controller/Custom Devices/FPGA Addon/Scalars/Scalar Inputs/PWM.In.IO125/FREQ</v>
      </c>
      <c r="I683" s="32" t="str">
        <f>"IO" &amp; A683</f>
        <v>IO125</v>
      </c>
      <c r="J683" s="103" t="s">
        <v>6</v>
      </c>
      <c r="K683" s="103" t="s">
        <v>7</v>
      </c>
      <c r="L683" s="106"/>
      <c r="M683" s="91"/>
      <c r="N683" s="94"/>
    </row>
    <row r="684" spans="1:14" x14ac:dyDescent="0.45">
      <c r="A684" s="98"/>
      <c r="B684" s="101"/>
      <c r="C684" s="70" t="str">
        <f>"PXIe-7820R/DIO" &amp; D684</f>
        <v>PXIe-7820R/DIO92</v>
      </c>
      <c r="D684" s="30">
        <f t="shared" si="213"/>
        <v>92</v>
      </c>
      <c r="E684" s="30" t="str">
        <f t="shared" si="215"/>
        <v>FPGA DI (PWM Meas.)</v>
      </c>
      <c r="F684" s="30" t="str">
        <f t="shared" si="215"/>
        <v>PWM_DC</v>
      </c>
      <c r="G684" s="30" t="str">
        <f t="shared" si="214"/>
        <v>ATE/IO125/PWM_DC</v>
      </c>
      <c r="H684" s="40" t="str">
        <f>Paths!$B$4 &amp; I684 &amp; Paths!$B$10</f>
        <v>Targets/Controller/Custom Devices/FPGA Addon/Scalars/Scalar Inputs/PWM.In.IO125/DC</v>
      </c>
      <c r="I684" s="33" t="str">
        <f>"IO" &amp; A683</f>
        <v>IO125</v>
      </c>
      <c r="J684" s="104"/>
      <c r="K684" s="104"/>
      <c r="L684" s="107"/>
      <c r="M684" s="92"/>
      <c r="N684" s="95"/>
    </row>
    <row r="685" spans="1:14" x14ac:dyDescent="0.45">
      <c r="A685" s="98"/>
      <c r="B685" s="101"/>
      <c r="C685" s="70" t="str">
        <f>"PXIe-7820R/DIO" &amp; D685</f>
        <v>PXIe-7820R/DIO92</v>
      </c>
      <c r="D685" s="30">
        <f t="shared" si="213"/>
        <v>92</v>
      </c>
      <c r="E685" s="30" t="str">
        <f t="shared" si="215"/>
        <v>PFGA DI (DI State)</v>
      </c>
      <c r="F685" s="30" t="str">
        <f t="shared" si="215"/>
        <v>DI</v>
      </c>
      <c r="G685" s="30" t="str">
        <f t="shared" si="214"/>
        <v>ATE/IO125/DI</v>
      </c>
      <c r="H685" s="90" t="str">
        <f>Paths!$B$3 &amp; I685 &amp; Paths!$B$8</f>
        <v>Targets/Controller/Custom Devices/FPGA Addon/Scalars/Scalar Inputs/DI.IO125/STATE</v>
      </c>
      <c r="I685" s="33" t="str">
        <f>I684</f>
        <v>IO125</v>
      </c>
      <c r="J685" s="104"/>
      <c r="K685" s="104"/>
      <c r="L685" s="107"/>
      <c r="M685" s="92"/>
      <c r="N685" s="95"/>
    </row>
    <row r="686" spans="1:14" x14ac:dyDescent="0.45">
      <c r="A686" s="98"/>
      <c r="B686" s="101"/>
      <c r="C686" s="70" t="str">
        <f>"PXIe-7820R/DIO" &amp; D686</f>
        <v>PXIe-7820R/DIO92</v>
      </c>
      <c r="D686" s="30">
        <f t="shared" si="213"/>
        <v>92</v>
      </c>
      <c r="E686" s="30" t="str">
        <f t="shared" si="215"/>
        <v>FPGA DI (PWM Meas.)</v>
      </c>
      <c r="F686" s="30" t="str">
        <f t="shared" si="215"/>
        <v>PWM_TIMEOUT</v>
      </c>
      <c r="G686" s="30" t="str">
        <f t="shared" si="214"/>
        <v>ATE/IO125/PWM_TIMEOUT</v>
      </c>
      <c r="H686" s="40" t="str">
        <f>Paths!$B$5 &amp; I686 &amp; Paths!$B$11</f>
        <v>Targets/Controller/Custom Devices/FPGA Addon/Scalars/Scalar Outputs/PWM.Set.IO125/TIMEOUT</v>
      </c>
      <c r="I686" s="33" t="str">
        <f>"IO" &amp; A683</f>
        <v>IO125</v>
      </c>
      <c r="J686" s="104"/>
      <c r="K686" s="104"/>
      <c r="L686" s="107"/>
      <c r="M686" s="92"/>
      <c r="N686" s="95"/>
    </row>
    <row r="687" spans="1:14" x14ac:dyDescent="0.45">
      <c r="A687" s="98"/>
      <c r="B687" s="101"/>
      <c r="C687" s="70" t="str">
        <f>"SLSC-12202-1/P" &amp; ROUNDDOWN(D687/8,0) &amp; "." &amp; MOD(D687,8)</f>
        <v>SLSC-12202-1/P3.4</v>
      </c>
      <c r="D687" s="30">
        <f t="shared" si="213"/>
        <v>28</v>
      </c>
      <c r="E687" s="30" t="str">
        <f t="shared" si="215"/>
        <v>Input</v>
      </c>
      <c r="F687" s="30" t="str">
        <f t="shared" si="215"/>
        <v>None</v>
      </c>
      <c r="G687" s="30" t="str">
        <f t="shared" si="214"/>
        <v>None</v>
      </c>
      <c r="H687" s="36" t="str">
        <f>Paths!$B$17 &amp; "port" &amp; ROUNDDOWN(D687/8,0) &amp; "//line" &amp;MOD(D687,8) &amp;"/Properties/NI.Line.Direction"</f>
        <v>Targets/Controller/Hardware/SLSC/SLSC Chassis/Modules/Slot 6 (SLSC EDS)/Physical Channels/port3//line4/Properties/NI.Line.Direction</v>
      </c>
      <c r="I687" s="33" t="str">
        <f>"IO" &amp; A683</f>
        <v>IO125</v>
      </c>
      <c r="J687" s="104"/>
      <c r="K687" s="104"/>
      <c r="L687" s="107"/>
      <c r="M687" s="92"/>
      <c r="N687" s="95"/>
    </row>
    <row r="688" spans="1:14" x14ac:dyDescent="0.45">
      <c r="A688" s="98"/>
      <c r="B688" s="101"/>
      <c r="C688" s="70" t="str">
        <f>"PXIe-6375/AI" &amp; D688</f>
        <v>PXIe-6375/AI132</v>
      </c>
      <c r="D688" s="30">
        <f t="shared" si="213"/>
        <v>132</v>
      </c>
      <c r="E688" s="56" t="str">
        <f t="shared" si="215"/>
        <v>Scaled current 0-8 A</v>
      </c>
      <c r="F688" s="30" t="str">
        <f t="shared" si="215"/>
        <v>TBD</v>
      </c>
      <c r="G688" s="30" t="str">
        <f t="shared" si="214"/>
        <v>None</v>
      </c>
      <c r="H688" s="41" t="str">
        <f>Paths!$B$27 &amp; I688 &amp; Paths!$B$29</f>
        <v>Targets/Controller/Calculated Channels/ATE/IO125/AI</v>
      </c>
      <c r="I688" s="33" t="str">
        <f>"IO" &amp; A683</f>
        <v>IO125</v>
      </c>
      <c r="J688" s="104"/>
      <c r="K688" s="104"/>
      <c r="L688" s="107"/>
      <c r="M688" s="92"/>
      <c r="N688" s="95"/>
    </row>
    <row r="689" spans="1:14" ht="14.65" thickBot="1" x14ac:dyDescent="0.5">
      <c r="A689" s="99"/>
      <c r="B689" s="102"/>
      <c r="C689" s="71" t="str">
        <f>"SLSC-12251-2/Ch" &amp; D689 &amp; "_DUT"</f>
        <v>SLSC-12251-2/Ch4_DUT</v>
      </c>
      <c r="D689" s="31">
        <f t="shared" si="213"/>
        <v>4</v>
      </c>
      <c r="E689" s="31" t="str">
        <f t="shared" si="215"/>
        <v>FIU</v>
      </c>
      <c r="F689" s="31" t="str">
        <f t="shared" si="215"/>
        <v>TBD</v>
      </c>
      <c r="G689" s="31" t="str">
        <f t="shared" si="214"/>
        <v>None</v>
      </c>
      <c r="H689" s="42" t="str">
        <f>Paths!$B$14 &amp; D689</f>
        <v>Targets/Controller/Hardware/SLSC/SLSC Chassis/Modules/Slot 2 (SLSC EDS :: SLSC-12251)/Physical Channels/Channel_4</v>
      </c>
      <c r="I689" s="59" t="str">
        <f>"IO" &amp; A683</f>
        <v>IO125</v>
      </c>
      <c r="J689" s="105"/>
      <c r="K689" s="105"/>
      <c r="L689" s="108"/>
      <c r="M689" s="93"/>
      <c r="N689" s="96"/>
    </row>
    <row r="690" spans="1:14" ht="15" customHeight="1" x14ac:dyDescent="0.45">
      <c r="A690" s="97">
        <f>A683+1</f>
        <v>126</v>
      </c>
      <c r="B690" s="100" t="str">
        <f>B683</f>
        <v>HIGH LOAD
DI: 0-60 V
AI: 0-60 V
EXT LOAD</v>
      </c>
      <c r="C690" s="69" t="str">
        <f>"PXIe-7820R/DIO" &amp; D690</f>
        <v>PXIe-7820R/DIO93</v>
      </c>
      <c r="D690" s="29">
        <f t="shared" si="213"/>
        <v>93</v>
      </c>
      <c r="E690" s="55" t="str">
        <f t="shared" si="215"/>
        <v>FPGA DI (PWM Meas.)</v>
      </c>
      <c r="F690" s="55" t="str">
        <f t="shared" si="215"/>
        <v>PWM_FR</v>
      </c>
      <c r="G690" s="29" t="str">
        <f t="shared" si="214"/>
        <v>ATE/IO126/PWM_FR</v>
      </c>
      <c r="H690" s="39" t="str">
        <f>Paths!$B$4 &amp; I690 &amp; Paths!$B$9</f>
        <v>Targets/Controller/Custom Devices/FPGA Addon/Scalars/Scalar Inputs/PWM.In.IO126/FREQ</v>
      </c>
      <c r="I690" s="32" t="str">
        <f>"IO" &amp; A690</f>
        <v>IO126</v>
      </c>
      <c r="J690" s="103" t="s">
        <v>6</v>
      </c>
      <c r="K690" s="103" t="s">
        <v>7</v>
      </c>
      <c r="L690" s="106"/>
      <c r="M690" s="91"/>
      <c r="N690" s="94"/>
    </row>
    <row r="691" spans="1:14" x14ac:dyDescent="0.45">
      <c r="A691" s="98"/>
      <c r="B691" s="101"/>
      <c r="C691" s="70" t="str">
        <f>"PXIe-7820R/DIO" &amp; D691</f>
        <v>PXIe-7820R/DIO93</v>
      </c>
      <c r="D691" s="30">
        <f t="shared" si="213"/>
        <v>93</v>
      </c>
      <c r="E691" s="30" t="str">
        <f t="shared" si="215"/>
        <v>FPGA DI (PWM Meas.)</v>
      </c>
      <c r="F691" s="30" t="str">
        <f t="shared" si="215"/>
        <v>PWM_DC</v>
      </c>
      <c r="G691" s="30" t="str">
        <f t="shared" si="214"/>
        <v>ATE/IO126/PWM_DC</v>
      </c>
      <c r="H691" s="40" t="str">
        <f>Paths!$B$4 &amp; I691 &amp; Paths!$B$10</f>
        <v>Targets/Controller/Custom Devices/FPGA Addon/Scalars/Scalar Inputs/PWM.In.IO126/DC</v>
      </c>
      <c r="I691" s="33" t="str">
        <f>"IO" &amp; A690</f>
        <v>IO126</v>
      </c>
      <c r="J691" s="104"/>
      <c r="K691" s="104"/>
      <c r="L691" s="107"/>
      <c r="M691" s="92"/>
      <c r="N691" s="95"/>
    </row>
    <row r="692" spans="1:14" x14ac:dyDescent="0.45">
      <c r="A692" s="98"/>
      <c r="B692" s="101"/>
      <c r="C692" s="70" t="str">
        <f>"PXIe-7820R/DIO" &amp; D692</f>
        <v>PXIe-7820R/DIO93</v>
      </c>
      <c r="D692" s="30">
        <f t="shared" si="213"/>
        <v>93</v>
      </c>
      <c r="E692" s="30" t="str">
        <f t="shared" si="215"/>
        <v>PFGA DI (DI State)</v>
      </c>
      <c r="F692" s="30" t="str">
        <f t="shared" si="215"/>
        <v>DI</v>
      </c>
      <c r="G692" s="30" t="str">
        <f t="shared" si="214"/>
        <v>ATE/IO126/DI</v>
      </c>
      <c r="H692" s="90" t="str">
        <f>Paths!$B$3 &amp; I692 &amp; Paths!$B$8</f>
        <v>Targets/Controller/Custom Devices/FPGA Addon/Scalars/Scalar Inputs/DI.IO126/STATE</v>
      </c>
      <c r="I692" s="33" t="str">
        <f>I691</f>
        <v>IO126</v>
      </c>
      <c r="J692" s="104"/>
      <c r="K692" s="104"/>
      <c r="L692" s="107"/>
      <c r="M692" s="92"/>
      <c r="N692" s="95"/>
    </row>
    <row r="693" spans="1:14" x14ac:dyDescent="0.45">
      <c r="A693" s="98"/>
      <c r="B693" s="101"/>
      <c r="C693" s="70" t="str">
        <f>"PXIe-7820R/DIO" &amp; D693</f>
        <v>PXIe-7820R/DIO93</v>
      </c>
      <c r="D693" s="30">
        <f t="shared" si="213"/>
        <v>93</v>
      </c>
      <c r="E693" s="30" t="str">
        <f t="shared" si="215"/>
        <v>FPGA DI (PWM Meas.)</v>
      </c>
      <c r="F693" s="30" t="str">
        <f t="shared" si="215"/>
        <v>PWM_TIMEOUT</v>
      </c>
      <c r="G693" s="30" t="str">
        <f t="shared" si="214"/>
        <v>ATE/IO126/PWM_TIMEOUT</v>
      </c>
      <c r="H693" s="40" t="str">
        <f>Paths!$B$5 &amp; I693 &amp; Paths!$B$11</f>
        <v>Targets/Controller/Custom Devices/FPGA Addon/Scalars/Scalar Outputs/PWM.Set.IO126/TIMEOUT</v>
      </c>
      <c r="I693" s="33" t="str">
        <f>"IO" &amp; A690</f>
        <v>IO126</v>
      </c>
      <c r="J693" s="104"/>
      <c r="K693" s="104"/>
      <c r="L693" s="107"/>
      <c r="M693" s="92"/>
      <c r="N693" s="95"/>
    </row>
    <row r="694" spans="1:14" x14ac:dyDescent="0.45">
      <c r="A694" s="98"/>
      <c r="B694" s="101"/>
      <c r="C694" s="70" t="str">
        <f>"SLSC-12202-1/P" &amp; ROUNDDOWN(D694/8,0) &amp; "." &amp; MOD(D694,8)</f>
        <v>SLSC-12202-1/P3.5</v>
      </c>
      <c r="D694" s="30">
        <f t="shared" ref="D694:D714" si="216">D687+1</f>
        <v>29</v>
      </c>
      <c r="E694" s="30" t="str">
        <f t="shared" ref="E694:F713" si="217">E687</f>
        <v>Input</v>
      </c>
      <c r="F694" s="30" t="str">
        <f t="shared" si="217"/>
        <v>None</v>
      </c>
      <c r="G694" s="30" t="str">
        <f t="shared" si="214"/>
        <v>None</v>
      </c>
      <c r="H694" s="36" t="str">
        <f>Paths!$B$17 &amp; "port" &amp; ROUNDDOWN(D694/8,0) &amp; "//line" &amp;MOD(D694,8) &amp;"/Properties/NI.Line.Direction"</f>
        <v>Targets/Controller/Hardware/SLSC/SLSC Chassis/Modules/Slot 6 (SLSC EDS)/Physical Channels/port3//line5/Properties/NI.Line.Direction</v>
      </c>
      <c r="I694" s="33" t="str">
        <f>"IO" &amp; A690</f>
        <v>IO126</v>
      </c>
      <c r="J694" s="104"/>
      <c r="K694" s="104"/>
      <c r="L694" s="107"/>
      <c r="M694" s="92"/>
      <c r="N694" s="95"/>
    </row>
    <row r="695" spans="1:14" x14ac:dyDescent="0.45">
      <c r="A695" s="98"/>
      <c r="B695" s="101"/>
      <c r="C695" s="70" t="str">
        <f>"PXIe-6375/AI" &amp; D695</f>
        <v>PXIe-6375/AI133</v>
      </c>
      <c r="D695" s="30">
        <f t="shared" si="216"/>
        <v>133</v>
      </c>
      <c r="E695" s="56" t="str">
        <f t="shared" si="217"/>
        <v>Scaled current 0-8 A</v>
      </c>
      <c r="F695" s="30" t="str">
        <f t="shared" si="217"/>
        <v>TBD</v>
      </c>
      <c r="G695" s="30" t="str">
        <f t="shared" si="214"/>
        <v>None</v>
      </c>
      <c r="H695" s="41" t="str">
        <f>Paths!$B$27 &amp; I695 &amp; Paths!$B$29</f>
        <v>Targets/Controller/Calculated Channels/ATE/IO126/AI</v>
      </c>
      <c r="I695" s="33" t="str">
        <f>"IO" &amp; A690</f>
        <v>IO126</v>
      </c>
      <c r="J695" s="104"/>
      <c r="K695" s="104"/>
      <c r="L695" s="107"/>
      <c r="M695" s="92"/>
      <c r="N695" s="95"/>
    </row>
    <row r="696" spans="1:14" ht="14.65" thickBot="1" x14ac:dyDescent="0.5">
      <c r="A696" s="99"/>
      <c r="B696" s="102"/>
      <c r="C696" s="71" t="str">
        <f>"SLSC-12251-2/Ch" &amp; D696 &amp; "_DUT"</f>
        <v>SLSC-12251-2/Ch5_DUT</v>
      </c>
      <c r="D696" s="31">
        <f t="shared" si="216"/>
        <v>5</v>
      </c>
      <c r="E696" s="31" t="str">
        <f t="shared" si="217"/>
        <v>FIU</v>
      </c>
      <c r="F696" s="31" t="str">
        <f t="shared" si="217"/>
        <v>TBD</v>
      </c>
      <c r="G696" s="31" t="str">
        <f t="shared" si="214"/>
        <v>None</v>
      </c>
      <c r="H696" s="42" t="str">
        <f>Paths!$B$14 &amp; D696</f>
        <v>Targets/Controller/Hardware/SLSC/SLSC Chassis/Modules/Slot 2 (SLSC EDS :: SLSC-12251)/Physical Channels/Channel_5</v>
      </c>
      <c r="I696" s="59" t="str">
        <f>"IO" &amp; A690</f>
        <v>IO126</v>
      </c>
      <c r="J696" s="105"/>
      <c r="K696" s="105"/>
      <c r="L696" s="108"/>
      <c r="M696" s="93"/>
      <c r="N696" s="96"/>
    </row>
    <row r="697" spans="1:14" ht="15" customHeight="1" x14ac:dyDescent="0.45">
      <c r="A697" s="97">
        <f>A690+1</f>
        <v>127</v>
      </c>
      <c r="B697" s="100" t="str">
        <f>B690</f>
        <v>HIGH LOAD
DI: 0-60 V
AI: 0-60 V
EXT LOAD</v>
      </c>
      <c r="C697" s="69" t="str">
        <f>"PXIe-7820R/DIO" &amp; D697</f>
        <v>PXIe-7820R/DIO94</v>
      </c>
      <c r="D697" s="29">
        <f t="shared" si="216"/>
        <v>94</v>
      </c>
      <c r="E697" s="55" t="str">
        <f t="shared" si="217"/>
        <v>FPGA DI (PWM Meas.)</v>
      </c>
      <c r="F697" s="55" t="str">
        <f t="shared" si="217"/>
        <v>PWM_FR</v>
      </c>
      <c r="G697" s="29" t="str">
        <f t="shared" si="214"/>
        <v>ATE/IO127/PWM_FR</v>
      </c>
      <c r="H697" s="39" t="str">
        <f>Paths!$B$4 &amp; I697 &amp; Paths!$B$9</f>
        <v>Targets/Controller/Custom Devices/FPGA Addon/Scalars/Scalar Inputs/PWM.In.IO127/FREQ</v>
      </c>
      <c r="I697" s="32" t="str">
        <f>"IO" &amp; A697</f>
        <v>IO127</v>
      </c>
      <c r="J697" s="103" t="s">
        <v>6</v>
      </c>
      <c r="K697" s="103" t="s">
        <v>7</v>
      </c>
      <c r="L697" s="106"/>
      <c r="M697" s="91"/>
      <c r="N697" s="94"/>
    </row>
    <row r="698" spans="1:14" x14ac:dyDescent="0.45">
      <c r="A698" s="98"/>
      <c r="B698" s="101"/>
      <c r="C698" s="70" t="str">
        <f>"PXIe-7820R/DIO" &amp; D698</f>
        <v>PXIe-7820R/DIO94</v>
      </c>
      <c r="D698" s="30">
        <f t="shared" si="216"/>
        <v>94</v>
      </c>
      <c r="E698" s="30" t="str">
        <f t="shared" si="217"/>
        <v>FPGA DI (PWM Meas.)</v>
      </c>
      <c r="F698" s="30" t="str">
        <f t="shared" si="217"/>
        <v>PWM_DC</v>
      </c>
      <c r="G698" s="30" t="str">
        <f t="shared" si="214"/>
        <v>ATE/IO127/PWM_DC</v>
      </c>
      <c r="H698" s="40" t="str">
        <f>Paths!$B$4 &amp; I698 &amp; Paths!$B$10</f>
        <v>Targets/Controller/Custom Devices/FPGA Addon/Scalars/Scalar Inputs/PWM.In.IO127/DC</v>
      </c>
      <c r="I698" s="33" t="str">
        <f>"IO" &amp; A697</f>
        <v>IO127</v>
      </c>
      <c r="J698" s="104"/>
      <c r="K698" s="104"/>
      <c r="L698" s="107"/>
      <c r="M698" s="92"/>
      <c r="N698" s="95"/>
    </row>
    <row r="699" spans="1:14" x14ac:dyDescent="0.45">
      <c r="A699" s="98"/>
      <c r="B699" s="101"/>
      <c r="C699" s="70" t="str">
        <f>"PXIe-7820R/DIO" &amp; D699</f>
        <v>PXIe-7820R/DIO94</v>
      </c>
      <c r="D699" s="30">
        <f t="shared" si="216"/>
        <v>94</v>
      </c>
      <c r="E699" s="30" t="str">
        <f t="shared" si="217"/>
        <v>PFGA DI (DI State)</v>
      </c>
      <c r="F699" s="30" t="str">
        <f t="shared" si="217"/>
        <v>DI</v>
      </c>
      <c r="G699" s="30" t="str">
        <f t="shared" si="214"/>
        <v>ATE/IO127/DI</v>
      </c>
      <c r="H699" s="90" t="str">
        <f>Paths!$B$3 &amp; I699 &amp; Paths!$B$8</f>
        <v>Targets/Controller/Custom Devices/FPGA Addon/Scalars/Scalar Inputs/DI.IO127/STATE</v>
      </c>
      <c r="I699" s="33" t="str">
        <f>I698</f>
        <v>IO127</v>
      </c>
      <c r="J699" s="104"/>
      <c r="K699" s="104"/>
      <c r="L699" s="107"/>
      <c r="M699" s="92"/>
      <c r="N699" s="95"/>
    </row>
    <row r="700" spans="1:14" x14ac:dyDescent="0.45">
      <c r="A700" s="98"/>
      <c r="B700" s="101"/>
      <c r="C700" s="70" t="str">
        <f>"PXIe-7820R/DIO" &amp; D700</f>
        <v>PXIe-7820R/DIO94</v>
      </c>
      <c r="D700" s="30">
        <f t="shared" si="216"/>
        <v>94</v>
      </c>
      <c r="E700" s="30" t="str">
        <f t="shared" si="217"/>
        <v>FPGA DI (PWM Meas.)</v>
      </c>
      <c r="F700" s="30" t="str">
        <f t="shared" si="217"/>
        <v>PWM_TIMEOUT</v>
      </c>
      <c r="G700" s="30" t="str">
        <f t="shared" si="214"/>
        <v>ATE/IO127/PWM_TIMEOUT</v>
      </c>
      <c r="H700" s="40" t="str">
        <f>Paths!$B$5 &amp; I700 &amp; Paths!$B$11</f>
        <v>Targets/Controller/Custom Devices/FPGA Addon/Scalars/Scalar Outputs/PWM.Set.IO127/TIMEOUT</v>
      </c>
      <c r="I700" s="33" t="str">
        <f>"IO" &amp; A697</f>
        <v>IO127</v>
      </c>
      <c r="J700" s="104"/>
      <c r="K700" s="104"/>
      <c r="L700" s="107"/>
      <c r="M700" s="92"/>
      <c r="N700" s="95"/>
    </row>
    <row r="701" spans="1:14" x14ac:dyDescent="0.45">
      <c r="A701" s="98"/>
      <c r="B701" s="101"/>
      <c r="C701" s="70" t="str">
        <f>"SLSC-12202-1/P" &amp; ROUNDDOWN(D701/8,0) &amp; "." &amp; MOD(D701,8)</f>
        <v>SLSC-12202-1/P3.6</v>
      </c>
      <c r="D701" s="30">
        <f t="shared" si="216"/>
        <v>30</v>
      </c>
      <c r="E701" s="30" t="str">
        <f t="shared" si="217"/>
        <v>Input</v>
      </c>
      <c r="F701" s="30" t="str">
        <f t="shared" si="217"/>
        <v>None</v>
      </c>
      <c r="G701" s="30" t="str">
        <f t="shared" si="214"/>
        <v>None</v>
      </c>
      <c r="H701" s="36" t="str">
        <f>Paths!$B$17 &amp; "port" &amp; ROUNDDOWN(D701/8,0) &amp; "//line" &amp;MOD(D701,8) &amp;"/Properties/NI.Line.Direction"</f>
        <v>Targets/Controller/Hardware/SLSC/SLSC Chassis/Modules/Slot 6 (SLSC EDS)/Physical Channels/port3//line6/Properties/NI.Line.Direction</v>
      </c>
      <c r="I701" s="33" t="str">
        <f>"IO" &amp; A697</f>
        <v>IO127</v>
      </c>
      <c r="J701" s="104"/>
      <c r="K701" s="104"/>
      <c r="L701" s="107"/>
      <c r="M701" s="92"/>
      <c r="N701" s="95"/>
    </row>
    <row r="702" spans="1:14" x14ac:dyDescent="0.45">
      <c r="A702" s="98"/>
      <c r="B702" s="101"/>
      <c r="C702" s="70" t="str">
        <f>"PXIe-6375/AI" &amp; D702</f>
        <v>PXIe-6375/AI134</v>
      </c>
      <c r="D702" s="30">
        <f t="shared" si="216"/>
        <v>134</v>
      </c>
      <c r="E702" s="56" t="str">
        <f t="shared" si="217"/>
        <v>Scaled current 0-8 A</v>
      </c>
      <c r="F702" s="30" t="str">
        <f t="shared" si="217"/>
        <v>TBD</v>
      </c>
      <c r="G702" s="30" t="str">
        <f t="shared" si="214"/>
        <v>None</v>
      </c>
      <c r="H702" s="41" t="str">
        <f>Paths!$B$27 &amp; I702 &amp; Paths!$B$29</f>
        <v>Targets/Controller/Calculated Channels/ATE/IO127/AI</v>
      </c>
      <c r="I702" s="33" t="str">
        <f>"IO" &amp; A697</f>
        <v>IO127</v>
      </c>
      <c r="J702" s="104"/>
      <c r="K702" s="104"/>
      <c r="L702" s="107"/>
      <c r="M702" s="92"/>
      <c r="N702" s="95"/>
    </row>
    <row r="703" spans="1:14" ht="14.65" thickBot="1" x14ac:dyDescent="0.5">
      <c r="A703" s="99"/>
      <c r="B703" s="102"/>
      <c r="C703" s="71" t="str">
        <f>"SLSC-12251-2/Ch" &amp; D703 &amp; "_DUT"</f>
        <v>SLSC-12251-2/Ch6_DUT</v>
      </c>
      <c r="D703" s="31">
        <f t="shared" si="216"/>
        <v>6</v>
      </c>
      <c r="E703" s="31" t="str">
        <f t="shared" si="217"/>
        <v>FIU</v>
      </c>
      <c r="F703" s="31" t="str">
        <f t="shared" si="217"/>
        <v>TBD</v>
      </c>
      <c r="G703" s="31" t="str">
        <f t="shared" si="214"/>
        <v>None</v>
      </c>
      <c r="H703" s="42" t="str">
        <f>Paths!$B$14 &amp; D703</f>
        <v>Targets/Controller/Hardware/SLSC/SLSC Chassis/Modules/Slot 2 (SLSC EDS :: SLSC-12251)/Physical Channels/Channel_6</v>
      </c>
      <c r="I703" s="59" t="str">
        <f>"IO" &amp; A697</f>
        <v>IO127</v>
      </c>
      <c r="J703" s="105"/>
      <c r="K703" s="105"/>
      <c r="L703" s="108"/>
      <c r="M703" s="93"/>
      <c r="N703" s="96"/>
    </row>
    <row r="704" spans="1:14" ht="15" customHeight="1" x14ac:dyDescent="0.45">
      <c r="A704" s="97">
        <f>A697+1</f>
        <v>128</v>
      </c>
      <c r="B704" s="100" t="str">
        <f>B697</f>
        <v>HIGH LOAD
DI: 0-60 V
AI: 0-60 V
EXT LOAD</v>
      </c>
      <c r="C704" s="69" t="str">
        <f>"PXIe-7820R/DIO" &amp; D704</f>
        <v>PXIe-7820R/DIO95</v>
      </c>
      <c r="D704" s="29">
        <f t="shared" si="216"/>
        <v>95</v>
      </c>
      <c r="E704" s="55" t="str">
        <f t="shared" si="217"/>
        <v>FPGA DI (PWM Meas.)</v>
      </c>
      <c r="F704" s="55" t="str">
        <f t="shared" si="217"/>
        <v>PWM_FR</v>
      </c>
      <c r="G704" s="29" t="str">
        <f t="shared" si="214"/>
        <v>ATE/IO128/PWM_FR</v>
      </c>
      <c r="H704" s="39" t="str">
        <f>Paths!$B$4 &amp; I704 &amp; Paths!$B$9</f>
        <v>Targets/Controller/Custom Devices/FPGA Addon/Scalars/Scalar Inputs/PWM.In.IO128/FREQ</v>
      </c>
      <c r="I704" s="32" t="str">
        <f>"IO" &amp; A704</f>
        <v>IO128</v>
      </c>
      <c r="J704" s="103" t="s">
        <v>6</v>
      </c>
      <c r="K704" s="103" t="s">
        <v>7</v>
      </c>
      <c r="L704" s="106"/>
      <c r="M704" s="91"/>
      <c r="N704" s="94"/>
    </row>
    <row r="705" spans="1:14" x14ac:dyDescent="0.45">
      <c r="A705" s="98"/>
      <c r="B705" s="101"/>
      <c r="C705" s="70" t="str">
        <f>"PXIe-7820R/DIO" &amp; D705</f>
        <v>PXIe-7820R/DIO95</v>
      </c>
      <c r="D705" s="30">
        <f t="shared" si="216"/>
        <v>95</v>
      </c>
      <c r="E705" s="30" t="str">
        <f t="shared" si="217"/>
        <v>FPGA DI (PWM Meas.)</v>
      </c>
      <c r="F705" s="30" t="str">
        <f t="shared" si="217"/>
        <v>PWM_DC</v>
      </c>
      <c r="G705" s="30" t="str">
        <f t="shared" si="214"/>
        <v>ATE/IO128/PWM_DC</v>
      </c>
      <c r="H705" s="40" t="str">
        <f>Paths!$B$4 &amp; I705 &amp; Paths!$B$10</f>
        <v>Targets/Controller/Custom Devices/FPGA Addon/Scalars/Scalar Inputs/PWM.In.IO128/DC</v>
      </c>
      <c r="I705" s="33" t="str">
        <f>"IO" &amp; A704</f>
        <v>IO128</v>
      </c>
      <c r="J705" s="104"/>
      <c r="K705" s="104"/>
      <c r="L705" s="107"/>
      <c r="M705" s="92"/>
      <c r="N705" s="95"/>
    </row>
    <row r="706" spans="1:14" x14ac:dyDescent="0.45">
      <c r="A706" s="98"/>
      <c r="B706" s="101"/>
      <c r="C706" s="70" t="str">
        <f>"PXIe-7820R/DIO" &amp; D706</f>
        <v>PXIe-7820R/DIO95</v>
      </c>
      <c r="D706" s="30">
        <f t="shared" si="216"/>
        <v>95</v>
      </c>
      <c r="E706" s="30" t="str">
        <f t="shared" si="217"/>
        <v>PFGA DI (DI State)</v>
      </c>
      <c r="F706" s="30" t="str">
        <f t="shared" si="217"/>
        <v>DI</v>
      </c>
      <c r="G706" s="30" t="str">
        <f t="shared" si="214"/>
        <v>ATE/IO128/DI</v>
      </c>
      <c r="H706" s="90" t="str">
        <f>Paths!$B$3 &amp; I706 &amp; Paths!$B$8</f>
        <v>Targets/Controller/Custom Devices/FPGA Addon/Scalars/Scalar Inputs/DI.IO128/STATE</v>
      </c>
      <c r="I706" s="33" t="str">
        <f>I705</f>
        <v>IO128</v>
      </c>
      <c r="J706" s="104"/>
      <c r="K706" s="104"/>
      <c r="L706" s="107"/>
      <c r="M706" s="92"/>
      <c r="N706" s="95"/>
    </row>
    <row r="707" spans="1:14" x14ac:dyDescent="0.45">
      <c r="A707" s="98"/>
      <c r="B707" s="101"/>
      <c r="C707" s="70" t="str">
        <f>"PXIe-7820R/DIO" &amp; D707</f>
        <v>PXIe-7820R/DIO95</v>
      </c>
      <c r="D707" s="30">
        <f t="shared" si="216"/>
        <v>95</v>
      </c>
      <c r="E707" s="30" t="str">
        <f t="shared" si="217"/>
        <v>FPGA DI (PWM Meas.)</v>
      </c>
      <c r="F707" s="30" t="str">
        <f t="shared" si="217"/>
        <v>PWM_TIMEOUT</v>
      </c>
      <c r="G707" s="30" t="str">
        <f t="shared" si="214"/>
        <v>ATE/IO128/PWM_TIMEOUT</v>
      </c>
      <c r="H707" s="40" t="str">
        <f>Paths!$B$5 &amp; I707 &amp; Paths!$B$11</f>
        <v>Targets/Controller/Custom Devices/FPGA Addon/Scalars/Scalar Outputs/PWM.Set.IO128/TIMEOUT</v>
      </c>
      <c r="I707" s="33" t="str">
        <f>"IO" &amp; A704</f>
        <v>IO128</v>
      </c>
      <c r="J707" s="104"/>
      <c r="K707" s="104"/>
      <c r="L707" s="107"/>
      <c r="M707" s="92"/>
      <c r="N707" s="95"/>
    </row>
    <row r="708" spans="1:14" x14ac:dyDescent="0.45">
      <c r="A708" s="98"/>
      <c r="B708" s="101"/>
      <c r="C708" s="70" t="str">
        <f>"SLSC-12202-1/P" &amp; ROUNDDOWN(D708/8,0) &amp; "." &amp; MOD(D708,8)</f>
        <v>SLSC-12202-1/P3.7</v>
      </c>
      <c r="D708" s="30">
        <f t="shared" si="216"/>
        <v>31</v>
      </c>
      <c r="E708" s="30" t="str">
        <f t="shared" si="217"/>
        <v>Input</v>
      </c>
      <c r="F708" s="30" t="str">
        <f t="shared" si="217"/>
        <v>None</v>
      </c>
      <c r="G708" s="30" t="str">
        <f t="shared" si="214"/>
        <v>None</v>
      </c>
      <c r="H708" s="36" t="str">
        <f>Paths!$B$17 &amp; "port" &amp; ROUNDDOWN(D708/8,0) &amp; "//line" &amp;MOD(D708,8) &amp;"/Properties/NI.Line.Direction"</f>
        <v>Targets/Controller/Hardware/SLSC/SLSC Chassis/Modules/Slot 6 (SLSC EDS)/Physical Channels/port3//line7/Properties/NI.Line.Direction</v>
      </c>
      <c r="I708" s="33" t="str">
        <f>"IO" &amp; A704</f>
        <v>IO128</v>
      </c>
      <c r="J708" s="104"/>
      <c r="K708" s="104"/>
      <c r="L708" s="107"/>
      <c r="M708" s="92"/>
      <c r="N708" s="95"/>
    </row>
    <row r="709" spans="1:14" x14ac:dyDescent="0.45">
      <c r="A709" s="98"/>
      <c r="B709" s="101"/>
      <c r="C709" s="70" t="str">
        <f>"PXIe-6375/AI" &amp; D709</f>
        <v>PXIe-6375/AI135</v>
      </c>
      <c r="D709" s="30">
        <f t="shared" si="216"/>
        <v>135</v>
      </c>
      <c r="E709" s="56" t="str">
        <f t="shared" si="217"/>
        <v>Scaled current 0-8 A</v>
      </c>
      <c r="F709" s="30" t="str">
        <f t="shared" si="217"/>
        <v>TBD</v>
      </c>
      <c r="G709" s="30" t="str">
        <f t="shared" si="214"/>
        <v>None</v>
      </c>
      <c r="H709" s="41" t="str">
        <f>Paths!$B$27 &amp; I709 &amp; Paths!$B$29</f>
        <v>Targets/Controller/Calculated Channels/ATE/IO128/AI</v>
      </c>
      <c r="I709" s="33" t="str">
        <f>"IO" &amp; A704</f>
        <v>IO128</v>
      </c>
      <c r="J709" s="104"/>
      <c r="K709" s="104"/>
      <c r="L709" s="107"/>
      <c r="M709" s="92"/>
      <c r="N709" s="95"/>
    </row>
    <row r="710" spans="1:14" ht="14.65" thickBot="1" x14ac:dyDescent="0.5">
      <c r="A710" s="99"/>
      <c r="B710" s="102"/>
      <c r="C710" s="71" t="str">
        <f>"SLSC-12251-2/Ch" &amp; D710 &amp; "_DUT"</f>
        <v>SLSC-12251-2/Ch7_DUT</v>
      </c>
      <c r="D710" s="31">
        <f t="shared" si="216"/>
        <v>7</v>
      </c>
      <c r="E710" s="31" t="str">
        <f t="shared" si="217"/>
        <v>FIU</v>
      </c>
      <c r="F710" s="31" t="str">
        <f t="shared" si="217"/>
        <v>TBD</v>
      </c>
      <c r="G710" s="31" t="str">
        <f t="shared" si="214"/>
        <v>None</v>
      </c>
      <c r="H710" s="42" t="str">
        <f>Paths!$B$14 &amp; D710</f>
        <v>Targets/Controller/Hardware/SLSC/SLSC Chassis/Modules/Slot 2 (SLSC EDS :: SLSC-12251)/Physical Channels/Channel_7</v>
      </c>
      <c r="I710" s="59" t="str">
        <f>"IO" &amp; A704</f>
        <v>IO128</v>
      </c>
      <c r="J710" s="105"/>
      <c r="K710" s="105"/>
      <c r="L710" s="108"/>
      <c r="M710" s="93"/>
      <c r="N710" s="96"/>
    </row>
    <row r="711" spans="1:14" ht="15" customHeight="1" x14ac:dyDescent="0.45">
      <c r="A711" s="97">
        <f>A704+1</f>
        <v>129</v>
      </c>
      <c r="B711" s="100" t="str">
        <f>B704</f>
        <v>HIGH LOAD
DI: 0-60 V
AI: 0-60 V
EXT LOAD</v>
      </c>
      <c r="C711" s="69" t="str">
        <f>"PXIe-7820R/DIO" &amp; D711</f>
        <v>PXIe-7820R/DIO96</v>
      </c>
      <c r="D711" s="29">
        <f t="shared" si="216"/>
        <v>96</v>
      </c>
      <c r="E711" s="55" t="str">
        <f t="shared" si="217"/>
        <v>FPGA DI (PWM Meas.)</v>
      </c>
      <c r="F711" s="55" t="str">
        <f t="shared" si="217"/>
        <v>PWM_FR</v>
      </c>
      <c r="G711" s="29" t="str">
        <f t="shared" si="214"/>
        <v>ATE/IO129/PWM_FR</v>
      </c>
      <c r="H711" s="39" t="str">
        <f>Paths!$B$4 &amp; I711 &amp; Paths!$B$9</f>
        <v>Targets/Controller/Custom Devices/FPGA Addon/Scalars/Scalar Inputs/PWM.In.IO129/FREQ</v>
      </c>
      <c r="I711" s="32" t="str">
        <f>"IO" &amp; A711</f>
        <v>IO129</v>
      </c>
      <c r="J711" s="103" t="s">
        <v>6</v>
      </c>
      <c r="K711" s="103" t="s">
        <v>7</v>
      </c>
      <c r="L711" s="106"/>
      <c r="M711" s="91"/>
      <c r="N711" s="94"/>
    </row>
    <row r="712" spans="1:14" x14ac:dyDescent="0.45">
      <c r="A712" s="98"/>
      <c r="B712" s="101"/>
      <c r="C712" s="70" t="str">
        <f>"PXIe-7820R/DIO" &amp; D712</f>
        <v>PXIe-7820R/DIO96</v>
      </c>
      <c r="D712" s="30">
        <f t="shared" si="216"/>
        <v>96</v>
      </c>
      <c r="E712" s="30" t="str">
        <f t="shared" si="217"/>
        <v>FPGA DI (PWM Meas.)</v>
      </c>
      <c r="F712" s="30" t="str">
        <f t="shared" si="217"/>
        <v>PWM_DC</v>
      </c>
      <c r="G712" s="30" t="str">
        <f t="shared" si="214"/>
        <v>ATE/IO129/PWM_DC</v>
      </c>
      <c r="H712" s="40" t="str">
        <f>Paths!$B$4 &amp; I712 &amp; Paths!$B$10</f>
        <v>Targets/Controller/Custom Devices/FPGA Addon/Scalars/Scalar Inputs/PWM.In.IO129/DC</v>
      </c>
      <c r="I712" s="33" t="str">
        <f>"IO" &amp; A711</f>
        <v>IO129</v>
      </c>
      <c r="J712" s="104"/>
      <c r="K712" s="104"/>
      <c r="L712" s="107"/>
      <c r="M712" s="92"/>
      <c r="N712" s="95"/>
    </row>
    <row r="713" spans="1:14" x14ac:dyDescent="0.45">
      <c r="A713" s="98"/>
      <c r="B713" s="101"/>
      <c r="C713" s="70" t="str">
        <f>"PXIe-7820R/DIO" &amp; D713</f>
        <v>PXIe-7820R/DIO96</v>
      </c>
      <c r="D713" s="30">
        <f t="shared" si="216"/>
        <v>96</v>
      </c>
      <c r="E713" s="30" t="str">
        <f t="shared" si="217"/>
        <v>PFGA DI (DI State)</v>
      </c>
      <c r="F713" s="30" t="str">
        <f t="shared" si="217"/>
        <v>DI</v>
      </c>
      <c r="G713" s="30" t="str">
        <f t="shared" si="214"/>
        <v>ATE/IO129/DI</v>
      </c>
      <c r="H713" s="90" t="str">
        <f>Paths!$B$3 &amp; I713 &amp; Paths!$B$8</f>
        <v>Targets/Controller/Custom Devices/FPGA Addon/Scalars/Scalar Inputs/DI.IO129/STATE</v>
      </c>
      <c r="I713" s="33" t="str">
        <f>I712</f>
        <v>IO129</v>
      </c>
      <c r="J713" s="104"/>
      <c r="K713" s="104"/>
      <c r="L713" s="107"/>
      <c r="M713" s="92"/>
      <c r="N713" s="95"/>
    </row>
    <row r="714" spans="1:14" x14ac:dyDescent="0.45">
      <c r="A714" s="98"/>
      <c r="B714" s="101"/>
      <c r="C714" s="70" t="str">
        <f>"PXIe-7820R/DIO" &amp; D714</f>
        <v>PXIe-7820R/DIO96</v>
      </c>
      <c r="D714" s="30">
        <f t="shared" si="216"/>
        <v>96</v>
      </c>
      <c r="E714" s="30" t="str">
        <f t="shared" ref="E714:F733" si="218">E707</f>
        <v>FPGA DI (PWM Meas.)</v>
      </c>
      <c r="F714" s="30" t="str">
        <f t="shared" si="218"/>
        <v>PWM_TIMEOUT</v>
      </c>
      <c r="G714" s="30" t="str">
        <f t="shared" si="214"/>
        <v>ATE/IO129/PWM_TIMEOUT</v>
      </c>
      <c r="H714" s="40" t="str">
        <f>Paths!$B$5 &amp; I714 &amp; Paths!$B$11</f>
        <v>Targets/Controller/Custom Devices/FPGA Addon/Scalars/Scalar Outputs/PWM.Set.IO129/TIMEOUT</v>
      </c>
      <c r="I714" s="33" t="str">
        <f>"IO" &amp; A711</f>
        <v>IO129</v>
      </c>
      <c r="J714" s="104"/>
      <c r="K714" s="104"/>
      <c r="L714" s="107"/>
      <c r="M714" s="92"/>
      <c r="N714" s="95"/>
    </row>
    <row r="715" spans="1:14" x14ac:dyDescent="0.45">
      <c r="A715" s="98"/>
      <c r="B715" s="101"/>
      <c r="C715" s="70" t="str">
        <f>"SLSC-12202-2/P" &amp; ROUNDDOWN(D715/8,0) &amp; "." &amp; MOD(D715,8)</f>
        <v>SLSC-12202-2/P0.0</v>
      </c>
      <c r="D715" s="45">
        <v>0</v>
      </c>
      <c r="E715" s="30" t="str">
        <f t="shared" si="218"/>
        <v>Input</v>
      </c>
      <c r="F715" s="30" t="str">
        <f t="shared" si="218"/>
        <v>None</v>
      </c>
      <c r="G715" s="30" t="str">
        <f t="shared" si="214"/>
        <v>None</v>
      </c>
      <c r="H715" s="36" t="str">
        <f>Paths!$B$18 &amp; "port" &amp; ROUNDDOWN(D715/8,0) &amp; "//line" &amp;MOD(D715,8) &amp;"/Properties/NI.Line.Direction"</f>
        <v>Targets/Controller/Hardware/SLSC/SLSC Chassis/Modules/Slot 7 (SLSC EDS)/Physical Channels/port0//line0/Properties/NI.Line.Direction</v>
      </c>
      <c r="I715" s="33" t="str">
        <f>"IO" &amp; A711</f>
        <v>IO129</v>
      </c>
      <c r="J715" s="104"/>
      <c r="K715" s="104"/>
      <c r="L715" s="107"/>
      <c r="M715" s="92"/>
      <c r="N715" s="95"/>
    </row>
    <row r="716" spans="1:14" x14ac:dyDescent="0.45">
      <c r="A716" s="98"/>
      <c r="B716" s="101"/>
      <c r="C716" s="70" t="str">
        <f>"PXIe-6375/AI" &amp; D716</f>
        <v>PXIe-6375/AI144</v>
      </c>
      <c r="D716" s="45">
        <v>144</v>
      </c>
      <c r="E716" s="56" t="str">
        <f t="shared" si="218"/>
        <v>Scaled current 0-8 A</v>
      </c>
      <c r="F716" s="30" t="str">
        <f t="shared" si="218"/>
        <v>TBD</v>
      </c>
      <c r="G716" s="30" t="str">
        <f t="shared" si="214"/>
        <v>None</v>
      </c>
      <c r="H716" s="41" t="str">
        <f>Paths!$B$27 &amp; I716 &amp; Paths!$B$29</f>
        <v>Targets/Controller/Calculated Channels/ATE/IO129/AI</v>
      </c>
      <c r="I716" s="33" t="str">
        <f>"IO" &amp; A711</f>
        <v>IO129</v>
      </c>
      <c r="J716" s="104"/>
      <c r="K716" s="104"/>
      <c r="L716" s="107"/>
      <c r="M716" s="92"/>
      <c r="N716" s="95"/>
    </row>
    <row r="717" spans="1:14" ht="14.65" thickBot="1" x14ac:dyDescent="0.5">
      <c r="A717" s="99"/>
      <c r="B717" s="102"/>
      <c r="C717" s="71" t="str">
        <f>"SLSC-12251-3/Ch" &amp; D717 &amp; "_DUT"</f>
        <v>SLSC-12251-3/Ch0_DUT</v>
      </c>
      <c r="D717" s="46">
        <v>0</v>
      </c>
      <c r="E717" s="31" t="str">
        <f t="shared" si="218"/>
        <v>FIU</v>
      </c>
      <c r="F717" s="31" t="str">
        <f t="shared" si="218"/>
        <v>TBD</v>
      </c>
      <c r="G717" s="31" t="str">
        <f t="shared" si="214"/>
        <v>None</v>
      </c>
      <c r="H717" s="42" t="str">
        <f>Paths!$B$15 &amp; D717</f>
        <v>Targets/Controller/Hardware/SLSC/SLSC Chassis/Modules/Slot 3 (SLSC EDS :: SLSC-12251)/Physical Channels/Channel_0</v>
      </c>
      <c r="I717" s="59" t="str">
        <f>"IO" &amp; A711</f>
        <v>IO129</v>
      </c>
      <c r="J717" s="105"/>
      <c r="K717" s="105"/>
      <c r="L717" s="108"/>
      <c r="M717" s="93"/>
      <c r="N717" s="96"/>
    </row>
    <row r="718" spans="1:14" ht="15" customHeight="1" x14ac:dyDescent="0.45">
      <c r="A718" s="97">
        <f>A711+1</f>
        <v>130</v>
      </c>
      <c r="B718" s="100" t="str">
        <f>B711</f>
        <v>HIGH LOAD
DI: 0-60 V
AI: 0-60 V
EXT LOAD</v>
      </c>
      <c r="C718" s="69" t="str">
        <f>"PXIe-7820R/DIO" &amp; D718</f>
        <v>PXIe-7820R/DIO97</v>
      </c>
      <c r="D718" s="29">
        <f t="shared" ref="D718:D749" si="219">D711+1</f>
        <v>97</v>
      </c>
      <c r="E718" s="55" t="str">
        <f t="shared" si="218"/>
        <v>FPGA DI (PWM Meas.)</v>
      </c>
      <c r="F718" s="55" t="str">
        <f t="shared" si="218"/>
        <v>PWM_FR</v>
      </c>
      <c r="G718" s="29" t="str">
        <f t="shared" si="214"/>
        <v>ATE/IO130/PWM_FR</v>
      </c>
      <c r="H718" s="39" t="str">
        <f>Paths!$B$4 &amp; I718 &amp; Paths!$B$9</f>
        <v>Targets/Controller/Custom Devices/FPGA Addon/Scalars/Scalar Inputs/PWM.In.IO130/FREQ</v>
      </c>
      <c r="I718" s="32" t="str">
        <f>"IO" &amp; A718</f>
        <v>IO130</v>
      </c>
      <c r="J718" s="103" t="s">
        <v>6</v>
      </c>
      <c r="K718" s="103" t="s">
        <v>7</v>
      </c>
      <c r="L718" s="106"/>
      <c r="M718" s="91"/>
      <c r="N718" s="94"/>
    </row>
    <row r="719" spans="1:14" x14ac:dyDescent="0.45">
      <c r="A719" s="98"/>
      <c r="B719" s="101"/>
      <c r="C719" s="70" t="str">
        <f>"PXIe-7820R/DIO" &amp; D719</f>
        <v>PXIe-7820R/DIO97</v>
      </c>
      <c r="D719" s="30">
        <f t="shared" si="219"/>
        <v>97</v>
      </c>
      <c r="E719" s="30" t="str">
        <f t="shared" si="218"/>
        <v>FPGA DI (PWM Meas.)</v>
      </c>
      <c r="F719" s="30" t="str">
        <f t="shared" si="218"/>
        <v>PWM_DC</v>
      </c>
      <c r="G719" s="30" t="str">
        <f t="shared" si="214"/>
        <v>ATE/IO130/PWM_DC</v>
      </c>
      <c r="H719" s="40" t="str">
        <f>Paths!$B$4 &amp; I719 &amp; Paths!$B$10</f>
        <v>Targets/Controller/Custom Devices/FPGA Addon/Scalars/Scalar Inputs/PWM.In.IO130/DC</v>
      </c>
      <c r="I719" s="33" t="str">
        <f>"IO" &amp; A718</f>
        <v>IO130</v>
      </c>
      <c r="J719" s="104"/>
      <c r="K719" s="104"/>
      <c r="L719" s="107"/>
      <c r="M719" s="92"/>
      <c r="N719" s="95"/>
    </row>
    <row r="720" spans="1:14" x14ac:dyDescent="0.45">
      <c r="A720" s="98"/>
      <c r="B720" s="101"/>
      <c r="C720" s="70" t="str">
        <f>"PXIe-7820R/DIO" &amp; D720</f>
        <v>PXIe-7820R/DIO97</v>
      </c>
      <c r="D720" s="30">
        <f t="shared" si="219"/>
        <v>97</v>
      </c>
      <c r="E720" s="30" t="str">
        <f t="shared" si="218"/>
        <v>PFGA DI (DI State)</v>
      </c>
      <c r="F720" s="30" t="str">
        <f t="shared" si="218"/>
        <v>DI</v>
      </c>
      <c r="G720" s="30" t="str">
        <f t="shared" si="214"/>
        <v>ATE/IO130/DI</v>
      </c>
      <c r="H720" s="90" t="str">
        <f>Paths!$B$3 &amp; I720 &amp; Paths!$B$8</f>
        <v>Targets/Controller/Custom Devices/FPGA Addon/Scalars/Scalar Inputs/DI.IO130/STATE</v>
      </c>
      <c r="I720" s="33" t="str">
        <f>I719</f>
        <v>IO130</v>
      </c>
      <c r="J720" s="104"/>
      <c r="K720" s="104"/>
      <c r="L720" s="107"/>
      <c r="M720" s="92"/>
      <c r="N720" s="95"/>
    </row>
    <row r="721" spans="1:14" x14ac:dyDescent="0.45">
      <c r="A721" s="98"/>
      <c r="B721" s="101"/>
      <c r="C721" s="70" t="str">
        <f>"PXIe-7820R/DIO" &amp; D721</f>
        <v>PXIe-7820R/DIO97</v>
      </c>
      <c r="D721" s="30">
        <f t="shared" si="219"/>
        <v>97</v>
      </c>
      <c r="E721" s="30" t="str">
        <f t="shared" si="218"/>
        <v>FPGA DI (PWM Meas.)</v>
      </c>
      <c r="F721" s="30" t="str">
        <f t="shared" si="218"/>
        <v>PWM_TIMEOUT</v>
      </c>
      <c r="G721" s="30" t="str">
        <f t="shared" si="214"/>
        <v>ATE/IO130/PWM_TIMEOUT</v>
      </c>
      <c r="H721" s="40" t="str">
        <f>Paths!$B$5 &amp; I721 &amp; Paths!$B$11</f>
        <v>Targets/Controller/Custom Devices/FPGA Addon/Scalars/Scalar Outputs/PWM.Set.IO130/TIMEOUT</v>
      </c>
      <c r="I721" s="33" t="str">
        <f>"IO" &amp; A718</f>
        <v>IO130</v>
      </c>
      <c r="J721" s="104"/>
      <c r="K721" s="104"/>
      <c r="L721" s="107"/>
      <c r="M721" s="92"/>
      <c r="N721" s="95"/>
    </row>
    <row r="722" spans="1:14" x14ac:dyDescent="0.45">
      <c r="A722" s="98"/>
      <c r="B722" s="101"/>
      <c r="C722" s="70" t="str">
        <f>"SLSC-12202-2/P" &amp; ROUNDDOWN(D722/8,0) &amp; "." &amp; MOD(D722,8)</f>
        <v>SLSC-12202-2/P0.1</v>
      </c>
      <c r="D722" s="30">
        <f t="shared" si="219"/>
        <v>1</v>
      </c>
      <c r="E722" s="30" t="str">
        <f t="shared" si="218"/>
        <v>Input</v>
      </c>
      <c r="F722" s="30" t="str">
        <f t="shared" si="218"/>
        <v>None</v>
      </c>
      <c r="G722" s="30" t="str">
        <f t="shared" si="214"/>
        <v>None</v>
      </c>
      <c r="H722" s="36" t="str">
        <f>Paths!$B$18 &amp; "port" &amp; ROUNDDOWN(D722/8,0) &amp; "//line" &amp;MOD(D722,8) &amp;"/Properties/NI.Line.Direction"</f>
        <v>Targets/Controller/Hardware/SLSC/SLSC Chassis/Modules/Slot 7 (SLSC EDS)/Physical Channels/port0//line1/Properties/NI.Line.Direction</v>
      </c>
      <c r="I722" s="33" t="str">
        <f>"IO" &amp; A718</f>
        <v>IO130</v>
      </c>
      <c r="J722" s="104"/>
      <c r="K722" s="104"/>
      <c r="L722" s="107"/>
      <c r="M722" s="92"/>
      <c r="N722" s="95"/>
    </row>
    <row r="723" spans="1:14" x14ac:dyDescent="0.45">
      <c r="A723" s="98"/>
      <c r="B723" s="101"/>
      <c r="C723" s="70" t="str">
        <f>"PXIe-6375/AI" &amp; D723</f>
        <v>PXIe-6375/AI145</v>
      </c>
      <c r="D723" s="30">
        <f t="shared" si="219"/>
        <v>145</v>
      </c>
      <c r="E723" s="56" t="str">
        <f t="shared" si="218"/>
        <v>Scaled current 0-8 A</v>
      </c>
      <c r="F723" s="30" t="str">
        <f t="shared" si="218"/>
        <v>TBD</v>
      </c>
      <c r="G723" s="30" t="str">
        <f t="shared" si="214"/>
        <v>None</v>
      </c>
      <c r="H723" s="41" t="str">
        <f>Paths!$B$27 &amp; I723 &amp; Paths!$B$29</f>
        <v>Targets/Controller/Calculated Channels/ATE/IO130/AI</v>
      </c>
      <c r="I723" s="33" t="str">
        <f>"IO" &amp; A718</f>
        <v>IO130</v>
      </c>
      <c r="J723" s="104"/>
      <c r="K723" s="104"/>
      <c r="L723" s="107"/>
      <c r="M723" s="92"/>
      <c r="N723" s="95"/>
    </row>
    <row r="724" spans="1:14" ht="14.65" thickBot="1" x14ac:dyDescent="0.5">
      <c r="A724" s="99"/>
      <c r="B724" s="102"/>
      <c r="C724" s="71" t="str">
        <f>"SLSC-12251-3/Ch" &amp; D724 &amp; "_DUT"</f>
        <v>SLSC-12251-3/Ch1_DUT</v>
      </c>
      <c r="D724" s="31">
        <f t="shared" si="219"/>
        <v>1</v>
      </c>
      <c r="E724" s="31" t="str">
        <f t="shared" si="218"/>
        <v>FIU</v>
      </c>
      <c r="F724" s="31" t="str">
        <f t="shared" si="218"/>
        <v>TBD</v>
      </c>
      <c r="G724" s="31" t="str">
        <f t="shared" si="214"/>
        <v>None</v>
      </c>
      <c r="H724" s="42" t="str">
        <f>Paths!$B$15 &amp; D724</f>
        <v>Targets/Controller/Hardware/SLSC/SLSC Chassis/Modules/Slot 3 (SLSC EDS :: SLSC-12251)/Physical Channels/Channel_1</v>
      </c>
      <c r="I724" s="59" t="str">
        <f>"IO" &amp; A718</f>
        <v>IO130</v>
      </c>
      <c r="J724" s="105"/>
      <c r="K724" s="105"/>
      <c r="L724" s="108"/>
      <c r="M724" s="93"/>
      <c r="N724" s="96"/>
    </row>
    <row r="725" spans="1:14" ht="15" customHeight="1" x14ac:dyDescent="0.45">
      <c r="A725" s="97">
        <f>A718+1</f>
        <v>131</v>
      </c>
      <c r="B725" s="100" t="str">
        <f>B718</f>
        <v>HIGH LOAD
DI: 0-60 V
AI: 0-60 V
EXT LOAD</v>
      </c>
      <c r="C725" s="69" t="str">
        <f>"PXIe-7820R/DIO" &amp; D725</f>
        <v>PXIe-7820R/DIO98</v>
      </c>
      <c r="D725" s="29">
        <f t="shared" si="219"/>
        <v>98</v>
      </c>
      <c r="E725" s="55" t="str">
        <f t="shared" si="218"/>
        <v>FPGA DI (PWM Meas.)</v>
      </c>
      <c r="F725" s="55" t="str">
        <f t="shared" si="218"/>
        <v>PWM_FR</v>
      </c>
      <c r="G725" s="29" t="str">
        <f t="shared" si="214"/>
        <v>ATE/IO131/PWM_FR</v>
      </c>
      <c r="H725" s="39" t="str">
        <f>Paths!$B$4 &amp; I725 &amp; Paths!$B$9</f>
        <v>Targets/Controller/Custom Devices/FPGA Addon/Scalars/Scalar Inputs/PWM.In.IO131/FREQ</v>
      </c>
      <c r="I725" s="32" t="str">
        <f>"IO" &amp; A725</f>
        <v>IO131</v>
      </c>
      <c r="J725" s="103" t="s">
        <v>6</v>
      </c>
      <c r="K725" s="103" t="s">
        <v>7</v>
      </c>
      <c r="L725" s="106"/>
      <c r="M725" s="91"/>
      <c r="N725" s="94"/>
    </row>
    <row r="726" spans="1:14" x14ac:dyDescent="0.45">
      <c r="A726" s="98"/>
      <c r="B726" s="101"/>
      <c r="C726" s="70" t="str">
        <f>"PXIe-7820R/DIO" &amp; D726</f>
        <v>PXIe-7820R/DIO98</v>
      </c>
      <c r="D726" s="30">
        <f t="shared" si="219"/>
        <v>98</v>
      </c>
      <c r="E726" s="30" t="str">
        <f t="shared" si="218"/>
        <v>FPGA DI (PWM Meas.)</v>
      </c>
      <c r="F726" s="30" t="str">
        <f t="shared" si="218"/>
        <v>PWM_DC</v>
      </c>
      <c r="G726" s="30" t="str">
        <f t="shared" si="214"/>
        <v>ATE/IO131/PWM_DC</v>
      </c>
      <c r="H726" s="40" t="str">
        <f>Paths!$B$4 &amp; I726 &amp; Paths!$B$10</f>
        <v>Targets/Controller/Custom Devices/FPGA Addon/Scalars/Scalar Inputs/PWM.In.IO131/DC</v>
      </c>
      <c r="I726" s="33" t="str">
        <f>"IO" &amp; A725</f>
        <v>IO131</v>
      </c>
      <c r="J726" s="104"/>
      <c r="K726" s="104"/>
      <c r="L726" s="107"/>
      <c r="M726" s="92"/>
      <c r="N726" s="95"/>
    </row>
    <row r="727" spans="1:14" x14ac:dyDescent="0.45">
      <c r="A727" s="98"/>
      <c r="B727" s="101"/>
      <c r="C727" s="70" t="str">
        <f>"PXIe-7820R/DIO" &amp; D727</f>
        <v>PXIe-7820R/DIO98</v>
      </c>
      <c r="D727" s="30">
        <f t="shared" si="219"/>
        <v>98</v>
      </c>
      <c r="E727" s="30" t="str">
        <f t="shared" si="218"/>
        <v>PFGA DI (DI State)</v>
      </c>
      <c r="F727" s="30" t="str">
        <f t="shared" si="218"/>
        <v>DI</v>
      </c>
      <c r="G727" s="30" t="str">
        <f t="shared" si="214"/>
        <v>ATE/IO131/DI</v>
      </c>
      <c r="H727" s="90" t="str">
        <f>Paths!$B$3 &amp; I727 &amp; Paths!$B$8</f>
        <v>Targets/Controller/Custom Devices/FPGA Addon/Scalars/Scalar Inputs/DI.IO131/STATE</v>
      </c>
      <c r="I727" s="33" t="str">
        <f>I726</f>
        <v>IO131</v>
      </c>
      <c r="J727" s="104"/>
      <c r="K727" s="104"/>
      <c r="L727" s="107"/>
      <c r="M727" s="92"/>
      <c r="N727" s="95"/>
    </row>
    <row r="728" spans="1:14" x14ac:dyDescent="0.45">
      <c r="A728" s="98"/>
      <c r="B728" s="101"/>
      <c r="C728" s="70" t="str">
        <f>"PXIe-7820R/DIO" &amp; D728</f>
        <v>PXIe-7820R/DIO98</v>
      </c>
      <c r="D728" s="30">
        <f t="shared" si="219"/>
        <v>98</v>
      </c>
      <c r="E728" s="30" t="str">
        <f t="shared" si="218"/>
        <v>FPGA DI (PWM Meas.)</v>
      </c>
      <c r="F728" s="30" t="str">
        <f t="shared" si="218"/>
        <v>PWM_TIMEOUT</v>
      </c>
      <c r="G728" s="30" t="str">
        <f t="shared" si="214"/>
        <v>ATE/IO131/PWM_TIMEOUT</v>
      </c>
      <c r="H728" s="40" t="str">
        <f>Paths!$B$5 &amp; I728 &amp; Paths!$B$11</f>
        <v>Targets/Controller/Custom Devices/FPGA Addon/Scalars/Scalar Outputs/PWM.Set.IO131/TIMEOUT</v>
      </c>
      <c r="I728" s="33" t="str">
        <f>"IO" &amp; A725</f>
        <v>IO131</v>
      </c>
      <c r="J728" s="104"/>
      <c r="K728" s="104"/>
      <c r="L728" s="107"/>
      <c r="M728" s="92"/>
      <c r="N728" s="95"/>
    </row>
    <row r="729" spans="1:14" x14ac:dyDescent="0.45">
      <c r="A729" s="98"/>
      <c r="B729" s="101"/>
      <c r="C729" s="70" t="str">
        <f>"SLSC-12202-2/P" &amp; ROUNDDOWN(D729/8,0) &amp; "." &amp; MOD(D729,8)</f>
        <v>SLSC-12202-2/P0.2</v>
      </c>
      <c r="D729" s="30">
        <f t="shared" si="219"/>
        <v>2</v>
      </c>
      <c r="E729" s="30" t="str">
        <f t="shared" si="218"/>
        <v>Input</v>
      </c>
      <c r="F729" s="30" t="str">
        <f t="shared" si="218"/>
        <v>None</v>
      </c>
      <c r="G729" s="30" t="str">
        <f t="shared" si="214"/>
        <v>None</v>
      </c>
      <c r="H729" s="36" t="str">
        <f>Paths!$B$18 &amp; "port" &amp; ROUNDDOWN(D729/8,0) &amp; "//line" &amp;MOD(D729,8) &amp;"/Properties/NI.Line.Direction"</f>
        <v>Targets/Controller/Hardware/SLSC/SLSC Chassis/Modules/Slot 7 (SLSC EDS)/Physical Channels/port0//line2/Properties/NI.Line.Direction</v>
      </c>
      <c r="I729" s="33" t="str">
        <f>"IO" &amp; A725</f>
        <v>IO131</v>
      </c>
      <c r="J729" s="104"/>
      <c r="K729" s="104"/>
      <c r="L729" s="107"/>
      <c r="M729" s="92"/>
      <c r="N729" s="95"/>
    </row>
    <row r="730" spans="1:14" x14ac:dyDescent="0.45">
      <c r="A730" s="98"/>
      <c r="B730" s="101"/>
      <c r="C730" s="70" t="str">
        <f>"PXIe-6375/AI" &amp; D730</f>
        <v>PXIe-6375/AI146</v>
      </c>
      <c r="D730" s="30">
        <f t="shared" si="219"/>
        <v>146</v>
      </c>
      <c r="E730" s="56" t="str">
        <f t="shared" si="218"/>
        <v>Scaled current 0-8 A</v>
      </c>
      <c r="F730" s="30" t="str">
        <f t="shared" si="218"/>
        <v>TBD</v>
      </c>
      <c r="G730" s="30" t="str">
        <f t="shared" si="214"/>
        <v>None</v>
      </c>
      <c r="H730" s="41" t="str">
        <f>Paths!$B$27 &amp; I730 &amp; Paths!$B$29</f>
        <v>Targets/Controller/Calculated Channels/ATE/IO131/AI</v>
      </c>
      <c r="I730" s="33" t="str">
        <f>"IO" &amp; A725</f>
        <v>IO131</v>
      </c>
      <c r="J730" s="104"/>
      <c r="K730" s="104"/>
      <c r="L730" s="107"/>
      <c r="M730" s="92"/>
      <c r="N730" s="95"/>
    </row>
    <row r="731" spans="1:14" ht="14.65" thickBot="1" x14ac:dyDescent="0.5">
      <c r="A731" s="99"/>
      <c r="B731" s="102"/>
      <c r="C731" s="71" t="str">
        <f>"SLSC-12251-3/Ch" &amp; D731 &amp; "_DUT"</f>
        <v>SLSC-12251-3/Ch2_DUT</v>
      </c>
      <c r="D731" s="31">
        <f t="shared" si="219"/>
        <v>2</v>
      </c>
      <c r="E731" s="31" t="str">
        <f t="shared" si="218"/>
        <v>FIU</v>
      </c>
      <c r="F731" s="31" t="str">
        <f t="shared" si="218"/>
        <v>TBD</v>
      </c>
      <c r="G731" s="31" t="str">
        <f t="shared" si="214"/>
        <v>None</v>
      </c>
      <c r="H731" s="42" t="str">
        <f>Paths!$B$15 &amp; D731</f>
        <v>Targets/Controller/Hardware/SLSC/SLSC Chassis/Modules/Slot 3 (SLSC EDS :: SLSC-12251)/Physical Channels/Channel_2</v>
      </c>
      <c r="I731" s="59" t="str">
        <f>"IO" &amp; A725</f>
        <v>IO131</v>
      </c>
      <c r="J731" s="105"/>
      <c r="K731" s="105"/>
      <c r="L731" s="108"/>
      <c r="M731" s="93"/>
      <c r="N731" s="96"/>
    </row>
    <row r="732" spans="1:14" ht="15" customHeight="1" x14ac:dyDescent="0.45">
      <c r="A732" s="97">
        <f>A725+1</f>
        <v>132</v>
      </c>
      <c r="B732" s="100" t="str">
        <f>B725</f>
        <v>HIGH LOAD
DI: 0-60 V
AI: 0-60 V
EXT LOAD</v>
      </c>
      <c r="C732" s="69" t="str">
        <f>"PXIe-7820R/DIO" &amp; D732</f>
        <v>PXIe-7820R/DIO99</v>
      </c>
      <c r="D732" s="29">
        <f t="shared" si="219"/>
        <v>99</v>
      </c>
      <c r="E732" s="55" t="str">
        <f t="shared" si="218"/>
        <v>FPGA DI (PWM Meas.)</v>
      </c>
      <c r="F732" s="55" t="str">
        <f t="shared" si="218"/>
        <v>PWM_FR</v>
      </c>
      <c r="G732" s="29" t="str">
        <f t="shared" si="214"/>
        <v>ATE/IO132/PWM_FR</v>
      </c>
      <c r="H732" s="39" t="str">
        <f>Paths!$B$4 &amp; I732 &amp; Paths!$B$9</f>
        <v>Targets/Controller/Custom Devices/FPGA Addon/Scalars/Scalar Inputs/PWM.In.IO132/FREQ</v>
      </c>
      <c r="I732" s="32" t="str">
        <f>"IO" &amp; A732</f>
        <v>IO132</v>
      </c>
      <c r="J732" s="103" t="s">
        <v>6</v>
      </c>
      <c r="K732" s="103" t="s">
        <v>7</v>
      </c>
      <c r="L732" s="106"/>
      <c r="M732" s="91"/>
      <c r="N732" s="94"/>
    </row>
    <row r="733" spans="1:14" x14ac:dyDescent="0.45">
      <c r="A733" s="98"/>
      <c r="B733" s="101"/>
      <c r="C733" s="70" t="str">
        <f>"PXIe-7820R/DIO" &amp; D733</f>
        <v>PXIe-7820R/DIO99</v>
      </c>
      <c r="D733" s="30">
        <f t="shared" si="219"/>
        <v>99</v>
      </c>
      <c r="E733" s="30" t="str">
        <f t="shared" si="218"/>
        <v>FPGA DI (PWM Meas.)</v>
      </c>
      <c r="F733" s="30" t="str">
        <f t="shared" si="218"/>
        <v>PWM_DC</v>
      </c>
      <c r="G733" s="30" t="str">
        <f t="shared" si="214"/>
        <v>ATE/IO132/PWM_DC</v>
      </c>
      <c r="H733" s="40" t="str">
        <f>Paths!$B$4 &amp; I733 &amp; Paths!$B$10</f>
        <v>Targets/Controller/Custom Devices/FPGA Addon/Scalars/Scalar Inputs/PWM.In.IO132/DC</v>
      </c>
      <c r="I733" s="33" t="str">
        <f>"IO" &amp; A732</f>
        <v>IO132</v>
      </c>
      <c r="J733" s="104"/>
      <c r="K733" s="104"/>
      <c r="L733" s="107"/>
      <c r="M733" s="92"/>
      <c r="N733" s="95"/>
    </row>
    <row r="734" spans="1:14" x14ac:dyDescent="0.45">
      <c r="A734" s="98"/>
      <c r="B734" s="101"/>
      <c r="C734" s="70" t="str">
        <f>"PXIe-7820R/DIO" &amp; D734</f>
        <v>PXIe-7820R/DIO99</v>
      </c>
      <c r="D734" s="30">
        <f t="shared" si="219"/>
        <v>99</v>
      </c>
      <c r="E734" s="30" t="str">
        <f t="shared" ref="E734:F753" si="220">E727</f>
        <v>PFGA DI (DI State)</v>
      </c>
      <c r="F734" s="30" t="str">
        <f t="shared" si="220"/>
        <v>DI</v>
      </c>
      <c r="G734" s="30" t="str">
        <f t="shared" si="214"/>
        <v>ATE/IO132/DI</v>
      </c>
      <c r="H734" s="90" t="str">
        <f>Paths!$B$3 &amp; I734 &amp; Paths!$B$8</f>
        <v>Targets/Controller/Custom Devices/FPGA Addon/Scalars/Scalar Inputs/DI.IO132/STATE</v>
      </c>
      <c r="I734" s="33" t="str">
        <f>I733</f>
        <v>IO132</v>
      </c>
      <c r="J734" s="104"/>
      <c r="K734" s="104"/>
      <c r="L734" s="107"/>
      <c r="M734" s="92"/>
      <c r="N734" s="95"/>
    </row>
    <row r="735" spans="1:14" x14ac:dyDescent="0.45">
      <c r="A735" s="98"/>
      <c r="B735" s="101"/>
      <c r="C735" s="70" t="str">
        <f>"PXIe-7820R/DIO" &amp; D735</f>
        <v>PXIe-7820R/DIO99</v>
      </c>
      <c r="D735" s="30">
        <f t="shared" si="219"/>
        <v>99</v>
      </c>
      <c r="E735" s="30" t="str">
        <f t="shared" si="220"/>
        <v>FPGA DI (PWM Meas.)</v>
      </c>
      <c r="F735" s="30" t="str">
        <f t="shared" si="220"/>
        <v>PWM_TIMEOUT</v>
      </c>
      <c r="G735" s="30" t="str">
        <f t="shared" si="214"/>
        <v>ATE/IO132/PWM_TIMEOUT</v>
      </c>
      <c r="H735" s="40" t="str">
        <f>Paths!$B$5 &amp; I735 &amp; Paths!$B$11</f>
        <v>Targets/Controller/Custom Devices/FPGA Addon/Scalars/Scalar Outputs/PWM.Set.IO132/TIMEOUT</v>
      </c>
      <c r="I735" s="33" t="str">
        <f>"IO" &amp; A732</f>
        <v>IO132</v>
      </c>
      <c r="J735" s="104"/>
      <c r="K735" s="104"/>
      <c r="L735" s="107"/>
      <c r="M735" s="92"/>
      <c r="N735" s="95"/>
    </row>
    <row r="736" spans="1:14" x14ac:dyDescent="0.45">
      <c r="A736" s="98"/>
      <c r="B736" s="101"/>
      <c r="C736" s="70" t="str">
        <f>"SLSC-12202-2/P" &amp; ROUNDDOWN(D736/8,0) &amp; "." &amp; MOD(D736,8)</f>
        <v>SLSC-12202-2/P0.3</v>
      </c>
      <c r="D736" s="30">
        <f t="shared" si="219"/>
        <v>3</v>
      </c>
      <c r="E736" s="30" t="str">
        <f t="shared" si="220"/>
        <v>Input</v>
      </c>
      <c r="F736" s="30" t="str">
        <f t="shared" si="220"/>
        <v>None</v>
      </c>
      <c r="G736" s="30" t="str">
        <f t="shared" si="214"/>
        <v>None</v>
      </c>
      <c r="H736" s="36" t="str">
        <f>Paths!$B$18 &amp; "port" &amp; ROUNDDOWN(D736/8,0) &amp; "//line" &amp;MOD(D736,8) &amp;"/Properties/NI.Line.Direction"</f>
        <v>Targets/Controller/Hardware/SLSC/SLSC Chassis/Modules/Slot 7 (SLSC EDS)/Physical Channels/port0//line3/Properties/NI.Line.Direction</v>
      </c>
      <c r="I736" s="33" t="str">
        <f>"IO" &amp; A732</f>
        <v>IO132</v>
      </c>
      <c r="J736" s="104"/>
      <c r="K736" s="104"/>
      <c r="L736" s="107"/>
      <c r="M736" s="92"/>
      <c r="N736" s="95"/>
    </row>
    <row r="737" spans="1:14" x14ac:dyDescent="0.45">
      <c r="A737" s="98"/>
      <c r="B737" s="101"/>
      <c r="C737" s="70" t="str">
        <f>"PXIe-6375/AI" &amp; D737</f>
        <v>PXIe-6375/AI147</v>
      </c>
      <c r="D737" s="30">
        <f t="shared" si="219"/>
        <v>147</v>
      </c>
      <c r="E737" s="56" t="str">
        <f t="shared" si="220"/>
        <v>Scaled current 0-8 A</v>
      </c>
      <c r="F737" s="30" t="str">
        <f t="shared" si="220"/>
        <v>TBD</v>
      </c>
      <c r="G737" s="30" t="str">
        <f t="shared" si="214"/>
        <v>None</v>
      </c>
      <c r="H737" s="41" t="str">
        <f>Paths!$B$27 &amp; I737 &amp; Paths!$B$29</f>
        <v>Targets/Controller/Calculated Channels/ATE/IO132/AI</v>
      </c>
      <c r="I737" s="33" t="str">
        <f>"IO" &amp; A732</f>
        <v>IO132</v>
      </c>
      <c r="J737" s="104"/>
      <c r="K737" s="104"/>
      <c r="L737" s="107"/>
      <c r="M737" s="92"/>
      <c r="N737" s="95"/>
    </row>
    <row r="738" spans="1:14" ht="14.65" thickBot="1" x14ac:dyDescent="0.5">
      <c r="A738" s="99"/>
      <c r="B738" s="102"/>
      <c r="C738" s="71" t="str">
        <f>"SLSC-12251-3/Ch" &amp; D738 &amp; "_DUT"</f>
        <v>SLSC-12251-3/Ch3_DUT</v>
      </c>
      <c r="D738" s="31">
        <f t="shared" si="219"/>
        <v>3</v>
      </c>
      <c r="E738" s="31" t="str">
        <f t="shared" si="220"/>
        <v>FIU</v>
      </c>
      <c r="F738" s="31" t="str">
        <f t="shared" si="220"/>
        <v>TBD</v>
      </c>
      <c r="G738" s="31" t="str">
        <f t="shared" si="214"/>
        <v>None</v>
      </c>
      <c r="H738" s="42" t="str">
        <f>Paths!$B$15 &amp; D738</f>
        <v>Targets/Controller/Hardware/SLSC/SLSC Chassis/Modules/Slot 3 (SLSC EDS :: SLSC-12251)/Physical Channels/Channel_3</v>
      </c>
      <c r="I738" s="59" t="str">
        <f>"IO" &amp; A732</f>
        <v>IO132</v>
      </c>
      <c r="J738" s="105"/>
      <c r="K738" s="105"/>
      <c r="L738" s="108"/>
      <c r="M738" s="93"/>
      <c r="N738" s="96"/>
    </row>
    <row r="739" spans="1:14" ht="15" customHeight="1" x14ac:dyDescent="0.45">
      <c r="A739" s="97">
        <f>A732+1</f>
        <v>133</v>
      </c>
      <c r="B739" s="100" t="str">
        <f>B732</f>
        <v>HIGH LOAD
DI: 0-60 V
AI: 0-60 V
EXT LOAD</v>
      </c>
      <c r="C739" s="69" t="str">
        <f>"PXIe-7820R/DIO" &amp; D739</f>
        <v>PXIe-7820R/DIO100</v>
      </c>
      <c r="D739" s="29">
        <f t="shared" si="219"/>
        <v>100</v>
      </c>
      <c r="E739" s="55" t="str">
        <f t="shared" si="220"/>
        <v>FPGA DI (PWM Meas.)</v>
      </c>
      <c r="F739" s="55" t="str">
        <f t="shared" si="220"/>
        <v>PWM_FR</v>
      </c>
      <c r="G739" s="29" t="str">
        <f t="shared" si="214"/>
        <v>ATE/IO133/PWM_FR</v>
      </c>
      <c r="H739" s="39" t="str">
        <f>Paths!$B$4 &amp; I739 &amp; Paths!$B$9</f>
        <v>Targets/Controller/Custom Devices/FPGA Addon/Scalars/Scalar Inputs/PWM.In.IO133/FREQ</v>
      </c>
      <c r="I739" s="32" t="str">
        <f>"IO" &amp; A739</f>
        <v>IO133</v>
      </c>
      <c r="J739" s="103" t="s">
        <v>6</v>
      </c>
      <c r="K739" s="103" t="s">
        <v>7</v>
      </c>
      <c r="L739" s="106"/>
      <c r="M739" s="91"/>
      <c r="N739" s="94"/>
    </row>
    <row r="740" spans="1:14" x14ac:dyDescent="0.45">
      <c r="A740" s="98"/>
      <c r="B740" s="101"/>
      <c r="C740" s="70" t="str">
        <f>"PXIe-7820R/DIO" &amp; D740</f>
        <v>PXIe-7820R/DIO100</v>
      </c>
      <c r="D740" s="30">
        <f t="shared" si="219"/>
        <v>100</v>
      </c>
      <c r="E740" s="30" t="str">
        <f t="shared" si="220"/>
        <v>FPGA DI (PWM Meas.)</v>
      </c>
      <c r="F740" s="30" t="str">
        <f t="shared" si="220"/>
        <v>PWM_DC</v>
      </c>
      <c r="G740" s="30" t="str">
        <f t="shared" si="214"/>
        <v>ATE/IO133/PWM_DC</v>
      </c>
      <c r="H740" s="40" t="str">
        <f>Paths!$B$4 &amp; I740 &amp; Paths!$B$10</f>
        <v>Targets/Controller/Custom Devices/FPGA Addon/Scalars/Scalar Inputs/PWM.In.IO133/DC</v>
      </c>
      <c r="I740" s="33" t="str">
        <f>"IO" &amp; A739</f>
        <v>IO133</v>
      </c>
      <c r="J740" s="104"/>
      <c r="K740" s="104"/>
      <c r="L740" s="107"/>
      <c r="M740" s="92"/>
      <c r="N740" s="95"/>
    </row>
    <row r="741" spans="1:14" x14ac:dyDescent="0.45">
      <c r="A741" s="98"/>
      <c r="B741" s="101"/>
      <c r="C741" s="70" t="str">
        <f>"PXIe-7820R/DIO" &amp; D741</f>
        <v>PXIe-7820R/DIO100</v>
      </c>
      <c r="D741" s="30">
        <f t="shared" si="219"/>
        <v>100</v>
      </c>
      <c r="E741" s="30" t="str">
        <f t="shared" si="220"/>
        <v>PFGA DI (DI State)</v>
      </c>
      <c r="F741" s="30" t="str">
        <f t="shared" si="220"/>
        <v>DI</v>
      </c>
      <c r="G741" s="30" t="str">
        <f t="shared" si="214"/>
        <v>ATE/IO133/DI</v>
      </c>
      <c r="H741" s="90" t="str">
        <f>Paths!$B$3 &amp; I741 &amp; Paths!$B$8</f>
        <v>Targets/Controller/Custom Devices/FPGA Addon/Scalars/Scalar Inputs/DI.IO133/STATE</v>
      </c>
      <c r="I741" s="33" t="str">
        <f>I740</f>
        <v>IO133</v>
      </c>
      <c r="J741" s="104"/>
      <c r="K741" s="104"/>
      <c r="L741" s="107"/>
      <c r="M741" s="92"/>
      <c r="N741" s="95"/>
    </row>
    <row r="742" spans="1:14" x14ac:dyDescent="0.45">
      <c r="A742" s="98"/>
      <c r="B742" s="101"/>
      <c r="C742" s="70" t="str">
        <f>"PXIe-7820R/DIO" &amp; D742</f>
        <v>PXIe-7820R/DIO100</v>
      </c>
      <c r="D742" s="30">
        <f t="shared" si="219"/>
        <v>100</v>
      </c>
      <c r="E742" s="30" t="str">
        <f t="shared" si="220"/>
        <v>FPGA DI (PWM Meas.)</v>
      </c>
      <c r="F742" s="30" t="str">
        <f t="shared" si="220"/>
        <v>PWM_TIMEOUT</v>
      </c>
      <c r="G742" s="30" t="str">
        <f t="shared" si="214"/>
        <v>ATE/IO133/PWM_TIMEOUT</v>
      </c>
      <c r="H742" s="40" t="str">
        <f>Paths!$B$5 &amp; I742 &amp; Paths!$B$11</f>
        <v>Targets/Controller/Custom Devices/FPGA Addon/Scalars/Scalar Outputs/PWM.Set.IO133/TIMEOUT</v>
      </c>
      <c r="I742" s="33" t="str">
        <f>"IO" &amp; A739</f>
        <v>IO133</v>
      </c>
      <c r="J742" s="104"/>
      <c r="K742" s="104"/>
      <c r="L742" s="107"/>
      <c r="M742" s="92"/>
      <c r="N742" s="95"/>
    </row>
    <row r="743" spans="1:14" x14ac:dyDescent="0.45">
      <c r="A743" s="98"/>
      <c r="B743" s="101"/>
      <c r="C743" s="70" t="str">
        <f>"SLSC-12202-2/P" &amp; ROUNDDOWN(D743/8,0) &amp; "." &amp; MOD(D743,8)</f>
        <v>SLSC-12202-2/P0.4</v>
      </c>
      <c r="D743" s="30">
        <f t="shared" si="219"/>
        <v>4</v>
      </c>
      <c r="E743" s="30" t="str">
        <f t="shared" si="220"/>
        <v>Input</v>
      </c>
      <c r="F743" s="30" t="str">
        <f t="shared" si="220"/>
        <v>None</v>
      </c>
      <c r="G743" s="30" t="str">
        <f t="shared" si="214"/>
        <v>None</v>
      </c>
      <c r="H743" s="36" t="str">
        <f>Paths!$B$18 &amp; "port" &amp; ROUNDDOWN(D743/8,0) &amp; "//line" &amp;MOD(D743,8) &amp;"/Properties/NI.Line.Direction"</f>
        <v>Targets/Controller/Hardware/SLSC/SLSC Chassis/Modules/Slot 7 (SLSC EDS)/Physical Channels/port0//line4/Properties/NI.Line.Direction</v>
      </c>
      <c r="I743" s="33" t="str">
        <f>"IO" &amp; A739</f>
        <v>IO133</v>
      </c>
      <c r="J743" s="104"/>
      <c r="K743" s="104"/>
      <c r="L743" s="107"/>
      <c r="M743" s="92"/>
      <c r="N743" s="95"/>
    </row>
    <row r="744" spans="1:14" x14ac:dyDescent="0.45">
      <c r="A744" s="98"/>
      <c r="B744" s="101"/>
      <c r="C744" s="70" t="str">
        <f>"PXIe-6375/AI" &amp; D744</f>
        <v>PXIe-6375/AI148</v>
      </c>
      <c r="D744" s="30">
        <f t="shared" si="219"/>
        <v>148</v>
      </c>
      <c r="E744" s="56" t="str">
        <f t="shared" si="220"/>
        <v>Scaled current 0-8 A</v>
      </c>
      <c r="F744" s="30" t="str">
        <f t="shared" si="220"/>
        <v>TBD</v>
      </c>
      <c r="G744" s="30" t="str">
        <f t="shared" si="214"/>
        <v>None</v>
      </c>
      <c r="H744" s="41" t="str">
        <f>Paths!$B$27 &amp; I744 &amp; Paths!$B$29</f>
        <v>Targets/Controller/Calculated Channels/ATE/IO133/AI</v>
      </c>
      <c r="I744" s="33" t="str">
        <f>"IO" &amp; A739</f>
        <v>IO133</v>
      </c>
      <c r="J744" s="104"/>
      <c r="K744" s="104"/>
      <c r="L744" s="107"/>
      <c r="M744" s="92"/>
      <c r="N744" s="95"/>
    </row>
    <row r="745" spans="1:14" ht="14.65" thickBot="1" x14ac:dyDescent="0.5">
      <c r="A745" s="99"/>
      <c r="B745" s="102"/>
      <c r="C745" s="71" t="str">
        <f>"SLSC-12251-3/Ch" &amp; D745 &amp; "_DUT"</f>
        <v>SLSC-12251-3/Ch4_DUT</v>
      </c>
      <c r="D745" s="31">
        <f t="shared" si="219"/>
        <v>4</v>
      </c>
      <c r="E745" s="31" t="str">
        <f t="shared" si="220"/>
        <v>FIU</v>
      </c>
      <c r="F745" s="31" t="str">
        <f t="shared" si="220"/>
        <v>TBD</v>
      </c>
      <c r="G745" s="31" t="str">
        <f t="shared" si="214"/>
        <v>None</v>
      </c>
      <c r="H745" s="42" t="str">
        <f>Paths!$B$15 &amp; D745</f>
        <v>Targets/Controller/Hardware/SLSC/SLSC Chassis/Modules/Slot 3 (SLSC EDS :: SLSC-12251)/Physical Channels/Channel_4</v>
      </c>
      <c r="I745" s="59" t="str">
        <f>"IO" &amp; A739</f>
        <v>IO133</v>
      </c>
      <c r="J745" s="105"/>
      <c r="K745" s="105"/>
      <c r="L745" s="108"/>
      <c r="M745" s="93"/>
      <c r="N745" s="96"/>
    </row>
    <row r="746" spans="1:14" ht="15" customHeight="1" x14ac:dyDescent="0.45">
      <c r="A746" s="97">
        <f>A739+1</f>
        <v>134</v>
      </c>
      <c r="B746" s="100" t="str">
        <f>B739</f>
        <v>HIGH LOAD
DI: 0-60 V
AI: 0-60 V
EXT LOAD</v>
      </c>
      <c r="C746" s="69" t="str">
        <f>"PXIe-7820R/DIO" &amp; D746</f>
        <v>PXIe-7820R/DIO101</v>
      </c>
      <c r="D746" s="29">
        <f t="shared" si="219"/>
        <v>101</v>
      </c>
      <c r="E746" s="55" t="str">
        <f t="shared" si="220"/>
        <v>FPGA DI (PWM Meas.)</v>
      </c>
      <c r="F746" s="55" t="str">
        <f t="shared" si="220"/>
        <v>PWM_FR</v>
      </c>
      <c r="G746" s="29" t="str">
        <f t="shared" si="214"/>
        <v>ATE/IO134/PWM_FR</v>
      </c>
      <c r="H746" s="39" t="str">
        <f>Paths!$B$4 &amp; I746 &amp; Paths!$B$9</f>
        <v>Targets/Controller/Custom Devices/FPGA Addon/Scalars/Scalar Inputs/PWM.In.IO134/FREQ</v>
      </c>
      <c r="I746" s="32" t="str">
        <f>"IO" &amp; A$746</f>
        <v>IO134</v>
      </c>
      <c r="J746" s="103" t="s">
        <v>6</v>
      </c>
      <c r="K746" s="103" t="s">
        <v>7</v>
      </c>
      <c r="L746" s="106"/>
      <c r="M746" s="91"/>
      <c r="N746" s="94"/>
    </row>
    <row r="747" spans="1:14" x14ac:dyDescent="0.45">
      <c r="A747" s="98"/>
      <c r="B747" s="101"/>
      <c r="C747" s="70" t="str">
        <f>"PXIe-7820R/DIO" &amp; D747</f>
        <v>PXIe-7820R/DIO101</v>
      </c>
      <c r="D747" s="30">
        <f t="shared" si="219"/>
        <v>101</v>
      </c>
      <c r="E747" s="30" t="str">
        <f t="shared" si="220"/>
        <v>FPGA DI (PWM Meas.)</v>
      </c>
      <c r="F747" s="30" t="str">
        <f t="shared" si="220"/>
        <v>PWM_DC</v>
      </c>
      <c r="G747" s="30" t="str">
        <f t="shared" si="214"/>
        <v>ATE/IO134/PWM_DC</v>
      </c>
      <c r="H747" s="40" t="str">
        <f>Paths!$B$4 &amp; I747 &amp; Paths!$B$10</f>
        <v>Targets/Controller/Custom Devices/FPGA Addon/Scalars/Scalar Inputs/PWM.In.IO134/DC</v>
      </c>
      <c r="I747" s="33" t="str">
        <f>I746</f>
        <v>IO134</v>
      </c>
      <c r="J747" s="104"/>
      <c r="K747" s="104"/>
      <c r="L747" s="107"/>
      <c r="M747" s="92"/>
      <c r="N747" s="95"/>
    </row>
    <row r="748" spans="1:14" x14ac:dyDescent="0.45">
      <c r="A748" s="98"/>
      <c r="B748" s="101"/>
      <c r="C748" s="70" t="str">
        <f>"PXIe-7820R/DIO" &amp; D748</f>
        <v>PXIe-7820R/DIO101</v>
      </c>
      <c r="D748" s="30">
        <f t="shared" si="219"/>
        <v>101</v>
      </c>
      <c r="E748" s="30" t="str">
        <f t="shared" si="220"/>
        <v>PFGA DI (DI State)</v>
      </c>
      <c r="F748" s="30" t="str">
        <f t="shared" si="220"/>
        <v>DI</v>
      </c>
      <c r="G748" s="30" t="str">
        <f t="shared" si="214"/>
        <v>ATE/IO134/DI</v>
      </c>
      <c r="H748" s="90" t="str">
        <f>Paths!$B$3 &amp; I748 &amp; Paths!$B$8</f>
        <v>Targets/Controller/Custom Devices/FPGA Addon/Scalars/Scalar Inputs/DI.IO134/STATE</v>
      </c>
      <c r="I748" s="33" t="str">
        <f>I747</f>
        <v>IO134</v>
      </c>
      <c r="J748" s="104"/>
      <c r="K748" s="104"/>
      <c r="L748" s="107"/>
      <c r="M748" s="92"/>
      <c r="N748" s="95"/>
    </row>
    <row r="749" spans="1:14" x14ac:dyDescent="0.45">
      <c r="A749" s="98"/>
      <c r="B749" s="101"/>
      <c r="C749" s="70" t="str">
        <f>"PXIe-7820R/DIO" &amp; D749</f>
        <v>PXIe-7820R/DIO101</v>
      </c>
      <c r="D749" s="30">
        <f t="shared" si="219"/>
        <v>101</v>
      </c>
      <c r="E749" s="30" t="str">
        <f t="shared" si="220"/>
        <v>FPGA DI (PWM Meas.)</v>
      </c>
      <c r="F749" s="30" t="str">
        <f t="shared" si="220"/>
        <v>PWM_TIMEOUT</v>
      </c>
      <c r="G749" s="30" t="str">
        <f t="shared" si="214"/>
        <v>ATE/IO134/PWM_TIMEOUT</v>
      </c>
      <c r="H749" s="40" t="str">
        <f>Paths!$B$5 &amp; I749 &amp; Paths!$B$11</f>
        <v>Targets/Controller/Custom Devices/FPGA Addon/Scalars/Scalar Outputs/PWM.Set.IO134/TIMEOUT</v>
      </c>
      <c r="I749" s="33" t="str">
        <f>I746</f>
        <v>IO134</v>
      </c>
      <c r="J749" s="104"/>
      <c r="K749" s="104"/>
      <c r="L749" s="107"/>
      <c r="M749" s="92"/>
      <c r="N749" s="95"/>
    </row>
    <row r="750" spans="1:14" x14ac:dyDescent="0.45">
      <c r="A750" s="98"/>
      <c r="B750" s="101"/>
      <c r="C750" s="70" t="str">
        <f>"SLSC-12202-2/P" &amp; ROUNDDOWN(D750/8,0) &amp; "." &amp; MOD(D750,8)</f>
        <v>SLSC-12202-2/P0.5</v>
      </c>
      <c r="D750" s="30">
        <f t="shared" ref="D750:D770" si="221">D743+1</f>
        <v>5</v>
      </c>
      <c r="E750" s="30" t="str">
        <f t="shared" si="220"/>
        <v>Input</v>
      </c>
      <c r="F750" s="30" t="str">
        <f t="shared" si="220"/>
        <v>None</v>
      </c>
      <c r="G750" s="30" t="str">
        <f t="shared" si="214"/>
        <v>None</v>
      </c>
      <c r="H750" s="36" t="str">
        <f>Paths!$B$18 &amp; "port" &amp; ROUNDDOWN(D750/8,0) &amp; "//line" &amp;MOD(D750,8) &amp;"/Properties/NI.Line.Direction"</f>
        <v>Targets/Controller/Hardware/SLSC/SLSC Chassis/Modules/Slot 7 (SLSC EDS)/Physical Channels/port0//line5/Properties/NI.Line.Direction</v>
      </c>
      <c r="I750" s="33" t="str">
        <f>I746</f>
        <v>IO134</v>
      </c>
      <c r="J750" s="104"/>
      <c r="K750" s="104"/>
      <c r="L750" s="107"/>
      <c r="M750" s="92"/>
      <c r="N750" s="95"/>
    </row>
    <row r="751" spans="1:14" x14ac:dyDescent="0.45">
      <c r="A751" s="98"/>
      <c r="B751" s="101"/>
      <c r="C751" s="70" t="str">
        <f>"PXIe-6375/AI" &amp; D751</f>
        <v>PXIe-6375/AI149</v>
      </c>
      <c r="D751" s="30">
        <f t="shared" si="221"/>
        <v>149</v>
      </c>
      <c r="E751" s="56" t="str">
        <f t="shared" si="220"/>
        <v>Scaled current 0-8 A</v>
      </c>
      <c r="F751" s="30" t="str">
        <f t="shared" si="220"/>
        <v>TBD</v>
      </c>
      <c r="G751" s="30" t="str">
        <f t="shared" si="214"/>
        <v>None</v>
      </c>
      <c r="H751" s="41" t="str">
        <f>Paths!$B$27 &amp; I751 &amp; Paths!$B$29</f>
        <v>Targets/Controller/Calculated Channels/ATE/IO134/AI</v>
      </c>
      <c r="I751" s="33" t="str">
        <f>I746</f>
        <v>IO134</v>
      </c>
      <c r="J751" s="104"/>
      <c r="K751" s="104"/>
      <c r="L751" s="107"/>
      <c r="M751" s="92"/>
      <c r="N751" s="95"/>
    </row>
    <row r="752" spans="1:14" ht="14.65" thickBot="1" x14ac:dyDescent="0.5">
      <c r="A752" s="99"/>
      <c r="B752" s="102"/>
      <c r="C752" s="71" t="str">
        <f>"SLSC-12251-3/Ch" &amp; D752 &amp; "_DUT"</f>
        <v>SLSC-12251-3/Ch5_DUT</v>
      </c>
      <c r="D752" s="31">
        <f t="shared" si="221"/>
        <v>5</v>
      </c>
      <c r="E752" s="31" t="str">
        <f t="shared" si="220"/>
        <v>FIU</v>
      </c>
      <c r="F752" s="31" t="str">
        <f t="shared" si="220"/>
        <v>TBD</v>
      </c>
      <c r="G752" s="31" t="str">
        <f t="shared" si="214"/>
        <v>None</v>
      </c>
      <c r="H752" s="42" t="str">
        <f>Paths!$B$15 &amp; D752</f>
        <v>Targets/Controller/Hardware/SLSC/SLSC Chassis/Modules/Slot 3 (SLSC EDS :: SLSC-12251)/Physical Channels/Channel_5</v>
      </c>
      <c r="I752" s="59" t="str">
        <f>I746</f>
        <v>IO134</v>
      </c>
      <c r="J752" s="105"/>
      <c r="K752" s="105"/>
      <c r="L752" s="108"/>
      <c r="M752" s="93"/>
      <c r="N752" s="96"/>
    </row>
    <row r="753" spans="1:14" ht="15" customHeight="1" x14ac:dyDescent="0.45">
      <c r="A753" s="97">
        <f>A746+1</f>
        <v>135</v>
      </c>
      <c r="B753" s="100" t="str">
        <f>B746</f>
        <v>HIGH LOAD
DI: 0-60 V
AI: 0-60 V
EXT LOAD</v>
      </c>
      <c r="C753" s="69" t="str">
        <f>"PXIe-7820R/DIO" &amp; D753</f>
        <v>PXIe-7820R/DIO102</v>
      </c>
      <c r="D753" s="29">
        <f t="shared" si="221"/>
        <v>102</v>
      </c>
      <c r="E753" s="55" t="str">
        <f t="shared" si="220"/>
        <v>FPGA DI (PWM Meas.)</v>
      </c>
      <c r="F753" s="55" t="str">
        <f t="shared" si="220"/>
        <v>PWM_FR</v>
      </c>
      <c r="G753" s="29" t="str">
        <f t="shared" si="214"/>
        <v>ATE/IO135/PWM_FR</v>
      </c>
      <c r="H753" s="39" t="str">
        <f>Paths!$B$4 &amp; I753 &amp; Paths!$B$9</f>
        <v>Targets/Controller/Custom Devices/FPGA Addon/Scalars/Scalar Inputs/PWM.In.IO135/FREQ</v>
      </c>
      <c r="I753" s="32" t="str">
        <f>"IO" &amp; A753</f>
        <v>IO135</v>
      </c>
      <c r="J753" s="103" t="s">
        <v>6</v>
      </c>
      <c r="K753" s="103" t="s">
        <v>7</v>
      </c>
      <c r="L753" s="106"/>
      <c r="M753" s="91"/>
      <c r="N753" s="94"/>
    </row>
    <row r="754" spans="1:14" x14ac:dyDescent="0.45">
      <c r="A754" s="98"/>
      <c r="B754" s="101"/>
      <c r="C754" s="70" t="str">
        <f>"PXIe-7820R/DIO" &amp; D754</f>
        <v>PXIe-7820R/DIO102</v>
      </c>
      <c r="D754" s="30">
        <f t="shared" si="221"/>
        <v>102</v>
      </c>
      <c r="E754" s="30" t="str">
        <f t="shared" ref="E754:F773" si="222">E747</f>
        <v>FPGA DI (PWM Meas.)</v>
      </c>
      <c r="F754" s="30" t="str">
        <f t="shared" si="222"/>
        <v>PWM_DC</v>
      </c>
      <c r="G754" s="30" t="str">
        <f t="shared" si="214"/>
        <v>ATE/IO135/PWM_DC</v>
      </c>
      <c r="H754" s="40" t="str">
        <f>Paths!$B$4 &amp; I754 &amp; Paths!$B$10</f>
        <v>Targets/Controller/Custom Devices/FPGA Addon/Scalars/Scalar Inputs/PWM.In.IO135/DC</v>
      </c>
      <c r="I754" s="33" t="str">
        <f>I753</f>
        <v>IO135</v>
      </c>
      <c r="J754" s="104"/>
      <c r="K754" s="104"/>
      <c r="L754" s="107"/>
      <c r="M754" s="92"/>
      <c r="N754" s="95"/>
    </row>
    <row r="755" spans="1:14" x14ac:dyDescent="0.45">
      <c r="A755" s="98"/>
      <c r="B755" s="101"/>
      <c r="C755" s="70" t="str">
        <f>"PXIe-7820R/DIO" &amp; D755</f>
        <v>PXIe-7820R/DIO102</v>
      </c>
      <c r="D755" s="30">
        <f t="shared" si="221"/>
        <v>102</v>
      </c>
      <c r="E755" s="30" t="str">
        <f t="shared" si="222"/>
        <v>PFGA DI (DI State)</v>
      </c>
      <c r="F755" s="30" t="str">
        <f t="shared" si="222"/>
        <v>DI</v>
      </c>
      <c r="G755" s="30" t="str">
        <f t="shared" ref="G755" si="223">IF(OR(F755="None",F755="TBD"),"None",_xlfn.CONCAT("ATE/",I755,"/",F755))</f>
        <v>ATE/IO135/DI</v>
      </c>
      <c r="H755" s="90" t="str">
        <f>Paths!$B$3 &amp; I755 &amp; Paths!$B$8</f>
        <v>Targets/Controller/Custom Devices/FPGA Addon/Scalars/Scalar Inputs/DI.IO135/STATE</v>
      </c>
      <c r="I755" s="33" t="str">
        <f>I754</f>
        <v>IO135</v>
      </c>
      <c r="J755" s="104"/>
      <c r="K755" s="104"/>
      <c r="L755" s="107"/>
      <c r="M755" s="92"/>
      <c r="N755" s="95"/>
    </row>
    <row r="756" spans="1:14" x14ac:dyDescent="0.45">
      <c r="A756" s="98"/>
      <c r="B756" s="101"/>
      <c r="C756" s="70" t="str">
        <f>"PXIe-7820R/DIO" &amp; D756</f>
        <v>PXIe-7820R/DIO102</v>
      </c>
      <c r="D756" s="30">
        <f t="shared" si="221"/>
        <v>102</v>
      </c>
      <c r="E756" s="30" t="str">
        <f t="shared" si="222"/>
        <v>FPGA DI (PWM Meas.)</v>
      </c>
      <c r="F756" s="30" t="str">
        <f t="shared" si="222"/>
        <v>PWM_TIMEOUT</v>
      </c>
      <c r="G756" s="30" t="str">
        <f t="shared" ref="G756" si="224">IF(OR(F756="None",F756="TBD"),"None",_xlfn.CONCAT("ATE/",I756,"/",F756))</f>
        <v>ATE/IO135/PWM_TIMEOUT</v>
      </c>
      <c r="H756" s="40" t="str">
        <f>Paths!$B$5 &amp; I756 &amp; Paths!$B$11</f>
        <v>Targets/Controller/Custom Devices/FPGA Addon/Scalars/Scalar Outputs/PWM.Set.IO135/TIMEOUT</v>
      </c>
      <c r="I756" s="33" t="str">
        <f>I753</f>
        <v>IO135</v>
      </c>
      <c r="J756" s="104"/>
      <c r="K756" s="104"/>
      <c r="L756" s="107"/>
      <c r="M756" s="92"/>
      <c r="N756" s="95"/>
    </row>
    <row r="757" spans="1:14" x14ac:dyDescent="0.45">
      <c r="A757" s="98"/>
      <c r="B757" s="101"/>
      <c r="C757" s="70" t="str">
        <f>"SLSC-12202-2/P" &amp; ROUNDDOWN(D757/8,0) &amp; "." &amp; MOD(D757,8)</f>
        <v>SLSC-12202-2/P0.6</v>
      </c>
      <c r="D757" s="30">
        <f t="shared" si="221"/>
        <v>6</v>
      </c>
      <c r="E757" s="30" t="str">
        <f t="shared" si="222"/>
        <v>Input</v>
      </c>
      <c r="F757" s="30" t="str">
        <f t="shared" si="222"/>
        <v>None</v>
      </c>
      <c r="G757" s="30" t="str">
        <f t="shared" ref="G757:G844" si="225">IF(OR(F757="None",F757="TBD"),"None",_xlfn.CONCAT("ATE/",I757,"/",F757))</f>
        <v>None</v>
      </c>
      <c r="H757" s="36" t="str">
        <f>Paths!$B$18 &amp; "port" &amp; ROUNDDOWN(D757/8,0) &amp; "//line" &amp;MOD(D757,8) &amp;"/Properties/NI.Line.Direction"</f>
        <v>Targets/Controller/Hardware/SLSC/SLSC Chassis/Modules/Slot 7 (SLSC EDS)/Physical Channels/port0//line6/Properties/NI.Line.Direction</v>
      </c>
      <c r="I757" s="33" t="str">
        <f>I753</f>
        <v>IO135</v>
      </c>
      <c r="J757" s="104"/>
      <c r="K757" s="104"/>
      <c r="L757" s="107"/>
      <c r="M757" s="92"/>
      <c r="N757" s="95"/>
    </row>
    <row r="758" spans="1:14" x14ac:dyDescent="0.45">
      <c r="A758" s="98"/>
      <c r="B758" s="101"/>
      <c r="C758" s="70" t="str">
        <f>"PXIe-6375/AI" &amp; D758</f>
        <v>PXIe-6375/AI150</v>
      </c>
      <c r="D758" s="30">
        <f t="shared" si="221"/>
        <v>150</v>
      </c>
      <c r="E758" s="56" t="str">
        <f t="shared" si="222"/>
        <v>Scaled current 0-8 A</v>
      </c>
      <c r="F758" s="30" t="str">
        <f t="shared" si="222"/>
        <v>TBD</v>
      </c>
      <c r="G758" s="30" t="str">
        <f t="shared" si="225"/>
        <v>None</v>
      </c>
      <c r="H758" s="41" t="str">
        <f>Paths!$B$27 &amp; I758 &amp; Paths!$B$29</f>
        <v>Targets/Controller/Calculated Channels/ATE/IO135/AI</v>
      </c>
      <c r="I758" s="33" t="str">
        <f>I753</f>
        <v>IO135</v>
      </c>
      <c r="J758" s="104"/>
      <c r="K758" s="104"/>
      <c r="L758" s="107"/>
      <c r="M758" s="92"/>
      <c r="N758" s="95"/>
    </row>
    <row r="759" spans="1:14" ht="14.65" thickBot="1" x14ac:dyDescent="0.5">
      <c r="A759" s="99"/>
      <c r="B759" s="102"/>
      <c r="C759" s="71" t="str">
        <f>"SLSC-12251-3/Ch" &amp; D759 &amp; "_DUT"</f>
        <v>SLSC-12251-3/Ch6_DUT</v>
      </c>
      <c r="D759" s="31">
        <f t="shared" si="221"/>
        <v>6</v>
      </c>
      <c r="E759" s="31" t="str">
        <f t="shared" si="222"/>
        <v>FIU</v>
      </c>
      <c r="F759" s="31" t="str">
        <f t="shared" si="222"/>
        <v>TBD</v>
      </c>
      <c r="G759" s="31" t="str">
        <f t="shared" si="225"/>
        <v>None</v>
      </c>
      <c r="H759" s="42" t="str">
        <f>Paths!$B$15 &amp; D759</f>
        <v>Targets/Controller/Hardware/SLSC/SLSC Chassis/Modules/Slot 3 (SLSC EDS :: SLSC-12251)/Physical Channels/Channel_6</v>
      </c>
      <c r="I759" s="59" t="str">
        <f>I753</f>
        <v>IO135</v>
      </c>
      <c r="J759" s="105"/>
      <c r="K759" s="105"/>
      <c r="L759" s="108"/>
      <c r="M759" s="93"/>
      <c r="N759" s="96"/>
    </row>
    <row r="760" spans="1:14" ht="15" customHeight="1" x14ac:dyDescent="0.45">
      <c r="A760" s="97">
        <f>A753+1</f>
        <v>136</v>
      </c>
      <c r="B760" s="100" t="str">
        <f>B753</f>
        <v>HIGH LOAD
DI: 0-60 V
AI: 0-60 V
EXT LOAD</v>
      </c>
      <c r="C760" s="69" t="str">
        <f>"PXIe-7820R/DIO" &amp; D760</f>
        <v>PXIe-7820R/DIO103</v>
      </c>
      <c r="D760" s="29">
        <f t="shared" si="221"/>
        <v>103</v>
      </c>
      <c r="E760" s="55" t="str">
        <f t="shared" si="222"/>
        <v>FPGA DI (PWM Meas.)</v>
      </c>
      <c r="F760" s="55" t="str">
        <f t="shared" si="222"/>
        <v>PWM_FR</v>
      </c>
      <c r="G760" s="29" t="str">
        <f t="shared" si="225"/>
        <v>ATE/IO136/PWM_FR</v>
      </c>
      <c r="H760" s="39" t="str">
        <f>Paths!$B$4 &amp; I760 &amp; Paths!$B$9</f>
        <v>Targets/Controller/Custom Devices/FPGA Addon/Scalars/Scalar Inputs/PWM.In.IO136/FREQ</v>
      </c>
      <c r="I760" s="32" t="str">
        <f>"IO" &amp; A760</f>
        <v>IO136</v>
      </c>
      <c r="J760" s="103" t="s">
        <v>6</v>
      </c>
      <c r="K760" s="103" t="s">
        <v>7</v>
      </c>
      <c r="L760" s="106"/>
      <c r="M760" s="91"/>
      <c r="N760" s="94"/>
    </row>
    <row r="761" spans="1:14" x14ac:dyDescent="0.45">
      <c r="A761" s="98"/>
      <c r="B761" s="101"/>
      <c r="C761" s="70" t="str">
        <f>"PXIe-7820R/DIO" &amp; D761</f>
        <v>PXIe-7820R/DIO103</v>
      </c>
      <c r="D761" s="30">
        <f t="shared" si="221"/>
        <v>103</v>
      </c>
      <c r="E761" s="30" t="str">
        <f t="shared" si="222"/>
        <v>FPGA DI (PWM Meas.)</v>
      </c>
      <c r="F761" s="30" t="str">
        <f t="shared" si="222"/>
        <v>PWM_DC</v>
      </c>
      <c r="G761" s="30" t="str">
        <f t="shared" si="225"/>
        <v>ATE/IO136/PWM_DC</v>
      </c>
      <c r="H761" s="40" t="str">
        <f>Paths!$B$4 &amp; I761 &amp; Paths!$B$10</f>
        <v>Targets/Controller/Custom Devices/FPGA Addon/Scalars/Scalar Inputs/PWM.In.IO136/DC</v>
      </c>
      <c r="I761" s="33" t="str">
        <f>I760</f>
        <v>IO136</v>
      </c>
      <c r="J761" s="104"/>
      <c r="K761" s="104"/>
      <c r="L761" s="107"/>
      <c r="M761" s="92"/>
      <c r="N761" s="95"/>
    </row>
    <row r="762" spans="1:14" x14ac:dyDescent="0.45">
      <c r="A762" s="98"/>
      <c r="B762" s="101"/>
      <c r="C762" s="70" t="str">
        <f>"PXIe-7820R/DIO" &amp; D762</f>
        <v>PXIe-7820R/DIO103</v>
      </c>
      <c r="D762" s="30">
        <f t="shared" si="221"/>
        <v>103</v>
      </c>
      <c r="E762" s="30" t="str">
        <f t="shared" si="222"/>
        <v>PFGA DI (DI State)</v>
      </c>
      <c r="F762" s="30" t="str">
        <f t="shared" si="222"/>
        <v>DI</v>
      </c>
      <c r="G762" s="30" t="str">
        <f t="shared" si="225"/>
        <v>ATE/IO136/DI</v>
      </c>
      <c r="H762" s="90" t="str">
        <f>Paths!$B$3 &amp; I762 &amp; Paths!$B$8</f>
        <v>Targets/Controller/Custom Devices/FPGA Addon/Scalars/Scalar Inputs/DI.IO136/STATE</v>
      </c>
      <c r="I762" s="33" t="str">
        <f>I761</f>
        <v>IO136</v>
      </c>
      <c r="J762" s="104"/>
      <c r="K762" s="104"/>
      <c r="L762" s="107"/>
      <c r="M762" s="92"/>
      <c r="N762" s="95"/>
    </row>
    <row r="763" spans="1:14" x14ac:dyDescent="0.45">
      <c r="A763" s="98"/>
      <c r="B763" s="101"/>
      <c r="C763" s="70" t="str">
        <f>"PXIe-7820R/DIO" &amp; D763</f>
        <v>PXIe-7820R/DIO103</v>
      </c>
      <c r="D763" s="30">
        <f t="shared" si="221"/>
        <v>103</v>
      </c>
      <c r="E763" s="30" t="str">
        <f t="shared" si="222"/>
        <v>FPGA DI (PWM Meas.)</v>
      </c>
      <c r="F763" s="30" t="str">
        <f t="shared" si="222"/>
        <v>PWM_TIMEOUT</v>
      </c>
      <c r="G763" s="30" t="str">
        <f t="shared" si="225"/>
        <v>ATE/IO136/PWM_TIMEOUT</v>
      </c>
      <c r="H763" s="40" t="str">
        <f>Paths!$B$5 &amp; I763 &amp; Paths!$B$11</f>
        <v>Targets/Controller/Custom Devices/FPGA Addon/Scalars/Scalar Outputs/PWM.Set.IO136/TIMEOUT</v>
      </c>
      <c r="I763" s="33" t="str">
        <f>I760</f>
        <v>IO136</v>
      </c>
      <c r="J763" s="104"/>
      <c r="K763" s="104"/>
      <c r="L763" s="107"/>
      <c r="M763" s="92"/>
      <c r="N763" s="95"/>
    </row>
    <row r="764" spans="1:14" x14ac:dyDescent="0.45">
      <c r="A764" s="98"/>
      <c r="B764" s="101"/>
      <c r="C764" s="70" t="str">
        <f>"SLSC-12202-2/P" &amp; ROUNDDOWN(D764/8,0) &amp; "." &amp; MOD(D764,8)</f>
        <v>SLSC-12202-2/P0.7</v>
      </c>
      <c r="D764" s="30">
        <f t="shared" si="221"/>
        <v>7</v>
      </c>
      <c r="E764" s="30" t="str">
        <f t="shared" si="222"/>
        <v>Input</v>
      </c>
      <c r="F764" s="30" t="str">
        <f t="shared" si="222"/>
        <v>None</v>
      </c>
      <c r="G764" s="30" t="str">
        <f t="shared" si="225"/>
        <v>None</v>
      </c>
      <c r="H764" s="36" t="str">
        <f>Paths!$B$18 &amp; "port" &amp; ROUNDDOWN(D764/8,0) &amp; "//line" &amp;MOD(D764,8) &amp;"/Properties/NI.Line.Direction"</f>
        <v>Targets/Controller/Hardware/SLSC/SLSC Chassis/Modules/Slot 7 (SLSC EDS)/Physical Channels/port0//line7/Properties/NI.Line.Direction</v>
      </c>
      <c r="I764" s="33" t="str">
        <f>I760</f>
        <v>IO136</v>
      </c>
      <c r="J764" s="104"/>
      <c r="K764" s="104"/>
      <c r="L764" s="107"/>
      <c r="M764" s="92"/>
      <c r="N764" s="95"/>
    </row>
    <row r="765" spans="1:14" x14ac:dyDescent="0.45">
      <c r="A765" s="98"/>
      <c r="B765" s="101"/>
      <c r="C765" s="70" t="str">
        <f>"PXIe-6375/AI" &amp; D765</f>
        <v>PXIe-6375/AI151</v>
      </c>
      <c r="D765" s="30">
        <f t="shared" si="221"/>
        <v>151</v>
      </c>
      <c r="E765" s="56" t="str">
        <f t="shared" si="222"/>
        <v>Scaled current 0-8 A</v>
      </c>
      <c r="F765" s="30" t="str">
        <f t="shared" si="222"/>
        <v>TBD</v>
      </c>
      <c r="G765" s="30" t="str">
        <f t="shared" si="225"/>
        <v>None</v>
      </c>
      <c r="H765" s="41" t="str">
        <f>Paths!$B$27 &amp; I765 &amp; Paths!$B$29</f>
        <v>Targets/Controller/Calculated Channels/ATE/IO136/AI</v>
      </c>
      <c r="I765" s="33" t="str">
        <f>I760</f>
        <v>IO136</v>
      </c>
      <c r="J765" s="104"/>
      <c r="K765" s="104"/>
      <c r="L765" s="107"/>
      <c r="M765" s="92"/>
      <c r="N765" s="95"/>
    </row>
    <row r="766" spans="1:14" ht="14.65" thickBot="1" x14ac:dyDescent="0.5">
      <c r="A766" s="99"/>
      <c r="B766" s="102"/>
      <c r="C766" s="71" t="str">
        <f>"SLSC-12251-3/Ch" &amp; D766 &amp; "_DUT"</f>
        <v>SLSC-12251-3/Ch7_DUT</v>
      </c>
      <c r="D766" s="31">
        <f t="shared" si="221"/>
        <v>7</v>
      </c>
      <c r="E766" s="31" t="str">
        <f t="shared" si="222"/>
        <v>FIU</v>
      </c>
      <c r="F766" s="31" t="str">
        <f t="shared" si="222"/>
        <v>TBD</v>
      </c>
      <c r="G766" s="31" t="str">
        <f t="shared" si="225"/>
        <v>None</v>
      </c>
      <c r="H766" s="42" t="str">
        <f>Paths!$B$15 &amp; D766</f>
        <v>Targets/Controller/Hardware/SLSC/SLSC Chassis/Modules/Slot 3 (SLSC EDS :: SLSC-12251)/Physical Channels/Channel_7</v>
      </c>
      <c r="I766" s="59" t="str">
        <f>I760</f>
        <v>IO136</v>
      </c>
      <c r="J766" s="105"/>
      <c r="K766" s="105"/>
      <c r="L766" s="108"/>
      <c r="M766" s="93"/>
      <c r="N766" s="96"/>
    </row>
    <row r="767" spans="1:14" ht="15" customHeight="1" x14ac:dyDescent="0.45">
      <c r="A767" s="97">
        <f>A760+1</f>
        <v>137</v>
      </c>
      <c r="B767" s="100" t="str">
        <f>B760</f>
        <v>HIGH LOAD
DI: 0-60 V
AI: 0-60 V
EXT LOAD</v>
      </c>
      <c r="C767" s="69" t="str">
        <f>"PXIe-7820R/DIO" &amp; D767</f>
        <v>PXIe-7820R/DIO104</v>
      </c>
      <c r="D767" s="29">
        <f t="shared" si="221"/>
        <v>104</v>
      </c>
      <c r="E767" s="55" t="str">
        <f t="shared" si="222"/>
        <v>FPGA DI (PWM Meas.)</v>
      </c>
      <c r="F767" s="55" t="str">
        <f t="shared" si="222"/>
        <v>PWM_FR</v>
      </c>
      <c r="G767" s="29" t="str">
        <f t="shared" si="225"/>
        <v>ATE/IO137/PWM_FR</v>
      </c>
      <c r="H767" s="39" t="str">
        <f>Paths!$B$4 &amp; I767 &amp; Paths!$B$9</f>
        <v>Targets/Controller/Custom Devices/FPGA Addon/Scalars/Scalar Inputs/PWM.In.IO137/FREQ</v>
      </c>
      <c r="I767" s="32" t="str">
        <f>"IO" &amp; A767</f>
        <v>IO137</v>
      </c>
      <c r="J767" s="103" t="s">
        <v>6</v>
      </c>
      <c r="K767" s="103" t="s">
        <v>7</v>
      </c>
      <c r="L767" s="106"/>
      <c r="M767" s="91"/>
      <c r="N767" s="94"/>
    </row>
    <row r="768" spans="1:14" x14ac:dyDescent="0.45">
      <c r="A768" s="98"/>
      <c r="B768" s="101"/>
      <c r="C768" s="70" t="str">
        <f>"PXIe-7820R/DIO" &amp; D768</f>
        <v>PXIe-7820R/DIO104</v>
      </c>
      <c r="D768" s="30">
        <f t="shared" si="221"/>
        <v>104</v>
      </c>
      <c r="E768" s="30" t="str">
        <f t="shared" si="222"/>
        <v>FPGA DI (PWM Meas.)</v>
      </c>
      <c r="F768" s="30" t="str">
        <f t="shared" si="222"/>
        <v>PWM_DC</v>
      </c>
      <c r="G768" s="30" t="str">
        <f t="shared" si="225"/>
        <v>ATE/IO137/PWM_DC</v>
      </c>
      <c r="H768" s="40" t="str">
        <f>Paths!$B$4 &amp; I768 &amp; Paths!$B$10</f>
        <v>Targets/Controller/Custom Devices/FPGA Addon/Scalars/Scalar Inputs/PWM.In.IO137/DC</v>
      </c>
      <c r="I768" s="33" t="str">
        <f>I767</f>
        <v>IO137</v>
      </c>
      <c r="J768" s="104"/>
      <c r="K768" s="104"/>
      <c r="L768" s="107"/>
      <c r="M768" s="92"/>
      <c r="N768" s="95"/>
    </row>
    <row r="769" spans="1:14" x14ac:dyDescent="0.45">
      <c r="A769" s="98"/>
      <c r="B769" s="101"/>
      <c r="C769" s="70" t="str">
        <f>"PXIe-7820R/DIO" &amp; D769</f>
        <v>PXIe-7820R/DIO104</v>
      </c>
      <c r="D769" s="30">
        <f t="shared" si="221"/>
        <v>104</v>
      </c>
      <c r="E769" s="30" t="str">
        <f t="shared" si="222"/>
        <v>PFGA DI (DI State)</v>
      </c>
      <c r="F769" s="30" t="str">
        <f t="shared" si="222"/>
        <v>DI</v>
      </c>
      <c r="G769" s="30" t="str">
        <f t="shared" si="225"/>
        <v>ATE/IO137/DI</v>
      </c>
      <c r="H769" s="90" t="str">
        <f>Paths!$B$3 &amp; I769 &amp; Paths!$B$8</f>
        <v>Targets/Controller/Custom Devices/FPGA Addon/Scalars/Scalar Inputs/DI.IO137/STATE</v>
      </c>
      <c r="I769" s="33" t="str">
        <f>I768</f>
        <v>IO137</v>
      </c>
      <c r="J769" s="104"/>
      <c r="K769" s="104"/>
      <c r="L769" s="107"/>
      <c r="M769" s="92"/>
      <c r="N769" s="95"/>
    </row>
    <row r="770" spans="1:14" x14ac:dyDescent="0.45">
      <c r="A770" s="98"/>
      <c r="B770" s="101"/>
      <c r="C770" s="70" t="str">
        <f>"PXIe-7820R/DIO" &amp; D770</f>
        <v>PXIe-7820R/DIO104</v>
      </c>
      <c r="D770" s="30">
        <f t="shared" si="221"/>
        <v>104</v>
      </c>
      <c r="E770" s="30" t="str">
        <f t="shared" si="222"/>
        <v>FPGA DI (PWM Meas.)</v>
      </c>
      <c r="F770" s="30" t="str">
        <f t="shared" si="222"/>
        <v>PWM_TIMEOUT</v>
      </c>
      <c r="G770" s="30" t="str">
        <f t="shared" si="225"/>
        <v>ATE/IO137/PWM_TIMEOUT</v>
      </c>
      <c r="H770" s="40" t="str">
        <f>Paths!$B$5 &amp; I770 &amp; Paths!$B$11</f>
        <v>Targets/Controller/Custom Devices/FPGA Addon/Scalars/Scalar Outputs/PWM.Set.IO137/TIMEOUT</v>
      </c>
      <c r="I770" s="33" t="str">
        <f>I767</f>
        <v>IO137</v>
      </c>
      <c r="J770" s="104"/>
      <c r="K770" s="104"/>
      <c r="L770" s="107"/>
      <c r="M770" s="92"/>
      <c r="N770" s="95"/>
    </row>
    <row r="771" spans="1:14" x14ac:dyDescent="0.45">
      <c r="A771" s="98"/>
      <c r="B771" s="101"/>
      <c r="C771" s="70" t="str">
        <f>"SLSC-12202-2/P" &amp; ROUNDDOWN(D771/8,0) &amp; "." &amp; MOD(D771,8)</f>
        <v>SLSC-12202-2/P1.0</v>
      </c>
      <c r="D771" s="30">
        <f t="shared" ref="D771" si="226">D764+1</f>
        <v>8</v>
      </c>
      <c r="E771" s="30" t="str">
        <f t="shared" si="222"/>
        <v>Input</v>
      </c>
      <c r="F771" s="30" t="str">
        <f t="shared" si="222"/>
        <v>None</v>
      </c>
      <c r="G771" s="30" t="str">
        <f t="shared" si="225"/>
        <v>None</v>
      </c>
      <c r="H771" s="36" t="str">
        <f>Paths!$B$18 &amp; "port" &amp; ROUNDDOWN(D771/8,0) &amp; "//line" &amp;MOD(D771,8) &amp;"/Properties/NI.Line.Direction"</f>
        <v>Targets/Controller/Hardware/SLSC/SLSC Chassis/Modules/Slot 7 (SLSC EDS)/Physical Channels/port1//line0/Properties/NI.Line.Direction</v>
      </c>
      <c r="I771" s="33" t="str">
        <f>I767</f>
        <v>IO137</v>
      </c>
      <c r="J771" s="104"/>
      <c r="K771" s="104"/>
      <c r="L771" s="107"/>
      <c r="M771" s="92"/>
      <c r="N771" s="95"/>
    </row>
    <row r="772" spans="1:14" x14ac:dyDescent="0.45">
      <c r="A772" s="98"/>
      <c r="B772" s="101"/>
      <c r="C772" s="70" t="str">
        <f>"PXIe-6375/AI" &amp; D772</f>
        <v>PXIe-6375/AI160</v>
      </c>
      <c r="D772" s="45">
        <v>160</v>
      </c>
      <c r="E772" s="56" t="str">
        <f t="shared" si="222"/>
        <v>Scaled current 0-8 A</v>
      </c>
      <c r="F772" s="30" t="str">
        <f t="shared" si="222"/>
        <v>TBD</v>
      </c>
      <c r="G772" s="30" t="str">
        <f t="shared" si="225"/>
        <v>None</v>
      </c>
      <c r="H772" s="41" t="str">
        <f>Paths!$B$27 &amp; I772 &amp; Paths!$B$29</f>
        <v>Targets/Controller/Calculated Channels/ATE/IO137/AI</v>
      </c>
      <c r="I772" s="33" t="str">
        <f>I767</f>
        <v>IO137</v>
      </c>
      <c r="J772" s="104"/>
      <c r="K772" s="104"/>
      <c r="L772" s="107"/>
      <c r="M772" s="92"/>
      <c r="N772" s="95"/>
    </row>
    <row r="773" spans="1:14" ht="14.65" thickBot="1" x14ac:dyDescent="0.5">
      <c r="A773" s="99"/>
      <c r="B773" s="102"/>
      <c r="C773" s="71" t="str">
        <f>"SLSC-12251-3/Ch" &amp; D773 &amp; "_DUT"</f>
        <v>SLSC-12251-3/Ch8_DUT</v>
      </c>
      <c r="D773" s="31">
        <f t="shared" ref="D773:D804" si="227">D766+1</f>
        <v>8</v>
      </c>
      <c r="E773" s="31" t="str">
        <f t="shared" si="222"/>
        <v>FIU</v>
      </c>
      <c r="F773" s="31" t="str">
        <f t="shared" si="222"/>
        <v>TBD</v>
      </c>
      <c r="G773" s="31" t="str">
        <f t="shared" si="225"/>
        <v>None</v>
      </c>
      <c r="H773" s="42" t="str">
        <f>Paths!$B$15 &amp; D773</f>
        <v>Targets/Controller/Hardware/SLSC/SLSC Chassis/Modules/Slot 3 (SLSC EDS :: SLSC-12251)/Physical Channels/Channel_8</v>
      </c>
      <c r="I773" s="59" t="str">
        <f>I767</f>
        <v>IO137</v>
      </c>
      <c r="J773" s="105"/>
      <c r="K773" s="105"/>
      <c r="L773" s="108"/>
      <c r="M773" s="93"/>
      <c r="N773" s="96"/>
    </row>
    <row r="774" spans="1:14" ht="15" customHeight="1" x14ac:dyDescent="0.45">
      <c r="A774" s="97">
        <f>A767+1</f>
        <v>138</v>
      </c>
      <c r="B774" s="100" t="str">
        <f>B767</f>
        <v>HIGH LOAD
DI: 0-60 V
AI: 0-60 V
EXT LOAD</v>
      </c>
      <c r="C774" s="69" t="str">
        <f>"PXIe-7820R/DIO" &amp; D774</f>
        <v>PXIe-7820R/DIO105</v>
      </c>
      <c r="D774" s="29">
        <f t="shared" si="227"/>
        <v>105</v>
      </c>
      <c r="E774" s="55" t="str">
        <f t="shared" ref="E774:F793" si="228">E767</f>
        <v>FPGA DI (PWM Meas.)</v>
      </c>
      <c r="F774" s="55" t="str">
        <f t="shared" si="228"/>
        <v>PWM_FR</v>
      </c>
      <c r="G774" s="29" t="str">
        <f t="shared" si="225"/>
        <v>ATE/IO138/PWM_FR</v>
      </c>
      <c r="H774" s="39" t="str">
        <f>Paths!$B$4 &amp; I774 &amp; Paths!$B$9</f>
        <v>Targets/Controller/Custom Devices/FPGA Addon/Scalars/Scalar Inputs/PWM.In.IO138/FREQ</v>
      </c>
      <c r="I774" s="32" t="str">
        <f>"IO" &amp; A774</f>
        <v>IO138</v>
      </c>
      <c r="J774" s="103" t="s">
        <v>6</v>
      </c>
      <c r="K774" s="103" t="s">
        <v>7</v>
      </c>
      <c r="L774" s="106"/>
      <c r="M774" s="91"/>
      <c r="N774" s="94"/>
    </row>
    <row r="775" spans="1:14" x14ac:dyDescent="0.45">
      <c r="A775" s="98"/>
      <c r="B775" s="101"/>
      <c r="C775" s="70" t="str">
        <f>"PXIe-7820R/DIO" &amp; D775</f>
        <v>PXIe-7820R/DIO105</v>
      </c>
      <c r="D775" s="30">
        <f t="shared" si="227"/>
        <v>105</v>
      </c>
      <c r="E775" s="30" t="str">
        <f t="shared" si="228"/>
        <v>FPGA DI (PWM Meas.)</v>
      </c>
      <c r="F775" s="30" t="str">
        <f t="shared" si="228"/>
        <v>PWM_DC</v>
      </c>
      <c r="G775" s="30" t="str">
        <f t="shared" si="225"/>
        <v>ATE/IO138/PWM_DC</v>
      </c>
      <c r="H775" s="40" t="str">
        <f>Paths!$B$4 &amp; I775 &amp; Paths!$B$10</f>
        <v>Targets/Controller/Custom Devices/FPGA Addon/Scalars/Scalar Inputs/PWM.In.IO138/DC</v>
      </c>
      <c r="I775" s="33" t="str">
        <f>I774</f>
        <v>IO138</v>
      </c>
      <c r="J775" s="104"/>
      <c r="K775" s="104"/>
      <c r="L775" s="107"/>
      <c r="M775" s="92"/>
      <c r="N775" s="95"/>
    </row>
    <row r="776" spans="1:14" x14ac:dyDescent="0.45">
      <c r="A776" s="98"/>
      <c r="B776" s="101"/>
      <c r="C776" s="70" t="str">
        <f>"PXIe-7820R/DIO" &amp; D776</f>
        <v>PXIe-7820R/DIO105</v>
      </c>
      <c r="D776" s="30">
        <f t="shared" si="227"/>
        <v>105</v>
      </c>
      <c r="E776" s="30" t="str">
        <f t="shared" si="228"/>
        <v>PFGA DI (DI State)</v>
      </c>
      <c r="F776" s="30" t="str">
        <f t="shared" si="228"/>
        <v>DI</v>
      </c>
      <c r="G776" s="30" t="str">
        <f t="shared" si="225"/>
        <v>ATE/IO138/DI</v>
      </c>
      <c r="H776" s="90" t="str">
        <f>Paths!$B$3 &amp; I776 &amp; Paths!$B$8</f>
        <v>Targets/Controller/Custom Devices/FPGA Addon/Scalars/Scalar Inputs/DI.IO138/STATE</v>
      </c>
      <c r="I776" s="33" t="str">
        <f>I775</f>
        <v>IO138</v>
      </c>
      <c r="J776" s="104"/>
      <c r="K776" s="104"/>
      <c r="L776" s="107"/>
      <c r="M776" s="92"/>
      <c r="N776" s="95"/>
    </row>
    <row r="777" spans="1:14" x14ac:dyDescent="0.45">
      <c r="A777" s="98"/>
      <c r="B777" s="101"/>
      <c r="C777" s="70" t="str">
        <f>"PXIe-7820R/DIO" &amp; D777</f>
        <v>PXIe-7820R/DIO105</v>
      </c>
      <c r="D777" s="30">
        <f t="shared" si="227"/>
        <v>105</v>
      </c>
      <c r="E777" s="30" t="str">
        <f t="shared" si="228"/>
        <v>FPGA DI (PWM Meas.)</v>
      </c>
      <c r="F777" s="30" t="str">
        <f t="shared" si="228"/>
        <v>PWM_TIMEOUT</v>
      </c>
      <c r="G777" s="30" t="str">
        <f t="shared" si="225"/>
        <v>ATE/IO138/PWM_TIMEOUT</v>
      </c>
      <c r="H777" s="40" t="str">
        <f>Paths!$B$5 &amp; I777 &amp; Paths!$B$11</f>
        <v>Targets/Controller/Custom Devices/FPGA Addon/Scalars/Scalar Outputs/PWM.Set.IO138/TIMEOUT</v>
      </c>
      <c r="I777" s="33" t="str">
        <f>I774</f>
        <v>IO138</v>
      </c>
      <c r="J777" s="104"/>
      <c r="K777" s="104"/>
      <c r="L777" s="107"/>
      <c r="M777" s="92"/>
      <c r="N777" s="95"/>
    </row>
    <row r="778" spans="1:14" x14ac:dyDescent="0.45">
      <c r="A778" s="98"/>
      <c r="B778" s="101"/>
      <c r="C778" s="70" t="str">
        <f>"SLSC-12202-2/P" &amp; ROUNDDOWN(D778/8,0) &amp; "." &amp; MOD(D778,8)</f>
        <v>SLSC-12202-2/P1.1</v>
      </c>
      <c r="D778" s="30">
        <f t="shared" si="227"/>
        <v>9</v>
      </c>
      <c r="E778" s="30" t="str">
        <f t="shared" si="228"/>
        <v>Input</v>
      </c>
      <c r="F778" s="30" t="str">
        <f t="shared" si="228"/>
        <v>None</v>
      </c>
      <c r="G778" s="30" t="str">
        <f t="shared" si="225"/>
        <v>None</v>
      </c>
      <c r="H778" s="36" t="str">
        <f>Paths!$B$18 &amp; "port" &amp; ROUNDDOWN(D778/8,0) &amp; "//line" &amp;MOD(D778,8) &amp;"/Properties/NI.Line.Direction"</f>
        <v>Targets/Controller/Hardware/SLSC/SLSC Chassis/Modules/Slot 7 (SLSC EDS)/Physical Channels/port1//line1/Properties/NI.Line.Direction</v>
      </c>
      <c r="I778" s="33" t="str">
        <f>I774</f>
        <v>IO138</v>
      </c>
      <c r="J778" s="104"/>
      <c r="K778" s="104"/>
      <c r="L778" s="107"/>
      <c r="M778" s="92"/>
      <c r="N778" s="95"/>
    </row>
    <row r="779" spans="1:14" x14ac:dyDescent="0.45">
      <c r="A779" s="98"/>
      <c r="B779" s="101"/>
      <c r="C779" s="70" t="str">
        <f>"PXIe-6375/AI" &amp; D779</f>
        <v>PXIe-6375/AI161</v>
      </c>
      <c r="D779" s="30">
        <f t="shared" si="227"/>
        <v>161</v>
      </c>
      <c r="E779" s="56" t="str">
        <f t="shared" si="228"/>
        <v>Scaled current 0-8 A</v>
      </c>
      <c r="F779" s="30" t="str">
        <f t="shared" si="228"/>
        <v>TBD</v>
      </c>
      <c r="G779" s="30" t="str">
        <f t="shared" si="225"/>
        <v>None</v>
      </c>
      <c r="H779" s="41" t="str">
        <f>Paths!$B$27 &amp; I779 &amp; Paths!$B$29</f>
        <v>Targets/Controller/Calculated Channels/ATE/IO138/AI</v>
      </c>
      <c r="I779" s="33" t="str">
        <f>I774</f>
        <v>IO138</v>
      </c>
      <c r="J779" s="104"/>
      <c r="K779" s="104"/>
      <c r="L779" s="107"/>
      <c r="M779" s="92"/>
      <c r="N779" s="95"/>
    </row>
    <row r="780" spans="1:14" ht="14.65" thickBot="1" x14ac:dyDescent="0.5">
      <c r="A780" s="99"/>
      <c r="B780" s="102"/>
      <c r="C780" s="71" t="str">
        <f>"SLSC-12251-3/Ch" &amp; D780 &amp; "_DUT"</f>
        <v>SLSC-12251-3/Ch9_DUT</v>
      </c>
      <c r="D780" s="31">
        <f t="shared" si="227"/>
        <v>9</v>
      </c>
      <c r="E780" s="31" t="str">
        <f t="shared" si="228"/>
        <v>FIU</v>
      </c>
      <c r="F780" s="31" t="str">
        <f t="shared" si="228"/>
        <v>TBD</v>
      </c>
      <c r="G780" s="31" t="str">
        <f t="shared" si="225"/>
        <v>None</v>
      </c>
      <c r="H780" s="42" t="str">
        <f>Paths!$B$15 &amp; D780</f>
        <v>Targets/Controller/Hardware/SLSC/SLSC Chassis/Modules/Slot 3 (SLSC EDS :: SLSC-12251)/Physical Channels/Channel_9</v>
      </c>
      <c r="I780" s="59" t="str">
        <f>I774</f>
        <v>IO138</v>
      </c>
      <c r="J780" s="105"/>
      <c r="K780" s="105"/>
      <c r="L780" s="108"/>
      <c r="M780" s="93"/>
      <c r="N780" s="96"/>
    </row>
    <row r="781" spans="1:14" ht="15" customHeight="1" x14ac:dyDescent="0.45">
      <c r="A781" s="97">
        <f>A774+1</f>
        <v>139</v>
      </c>
      <c r="B781" s="100" t="str">
        <f>B774</f>
        <v>HIGH LOAD
DI: 0-60 V
AI: 0-60 V
EXT LOAD</v>
      </c>
      <c r="C781" s="69" t="str">
        <f>"PXIe-7820R/DIO" &amp; D781</f>
        <v>PXIe-7820R/DIO106</v>
      </c>
      <c r="D781" s="29">
        <f t="shared" si="227"/>
        <v>106</v>
      </c>
      <c r="E781" s="55" t="str">
        <f t="shared" si="228"/>
        <v>FPGA DI (PWM Meas.)</v>
      </c>
      <c r="F781" s="55" t="str">
        <f t="shared" si="228"/>
        <v>PWM_FR</v>
      </c>
      <c r="G781" s="29" t="str">
        <f t="shared" si="225"/>
        <v>ATE/IO139/PWM_FR</v>
      </c>
      <c r="H781" s="39" t="str">
        <f>Paths!$B$4 &amp; I781 &amp; Paths!$B$9</f>
        <v>Targets/Controller/Custom Devices/FPGA Addon/Scalars/Scalar Inputs/PWM.In.IO139/FREQ</v>
      </c>
      <c r="I781" s="32" t="str">
        <f>"IO" &amp; A781</f>
        <v>IO139</v>
      </c>
      <c r="J781" s="103" t="s">
        <v>6</v>
      </c>
      <c r="K781" s="103" t="s">
        <v>7</v>
      </c>
      <c r="L781" s="106"/>
      <c r="M781" s="91"/>
      <c r="N781" s="94"/>
    </row>
    <row r="782" spans="1:14" x14ac:dyDescent="0.45">
      <c r="A782" s="98"/>
      <c r="B782" s="101"/>
      <c r="C782" s="70" t="str">
        <f>"PXIe-7820R/DIO" &amp; D782</f>
        <v>PXIe-7820R/DIO106</v>
      </c>
      <c r="D782" s="30">
        <f t="shared" si="227"/>
        <v>106</v>
      </c>
      <c r="E782" s="30" t="str">
        <f t="shared" si="228"/>
        <v>FPGA DI (PWM Meas.)</v>
      </c>
      <c r="F782" s="30" t="str">
        <f t="shared" si="228"/>
        <v>PWM_DC</v>
      </c>
      <c r="G782" s="30" t="str">
        <f t="shared" si="225"/>
        <v>ATE/IO139/PWM_DC</v>
      </c>
      <c r="H782" s="40" t="str">
        <f>Paths!$B$4 &amp; I782 &amp; Paths!$B$10</f>
        <v>Targets/Controller/Custom Devices/FPGA Addon/Scalars/Scalar Inputs/PWM.In.IO139/DC</v>
      </c>
      <c r="I782" s="33" t="str">
        <f>I781</f>
        <v>IO139</v>
      </c>
      <c r="J782" s="104"/>
      <c r="K782" s="104"/>
      <c r="L782" s="107"/>
      <c r="M782" s="92"/>
      <c r="N782" s="95"/>
    </row>
    <row r="783" spans="1:14" x14ac:dyDescent="0.45">
      <c r="A783" s="98"/>
      <c r="B783" s="101"/>
      <c r="C783" s="70" t="str">
        <f>"PXIe-7820R/DIO" &amp; D783</f>
        <v>PXIe-7820R/DIO106</v>
      </c>
      <c r="D783" s="30">
        <f t="shared" si="227"/>
        <v>106</v>
      </c>
      <c r="E783" s="30" t="str">
        <f t="shared" si="228"/>
        <v>PFGA DI (DI State)</v>
      </c>
      <c r="F783" s="30" t="str">
        <f t="shared" si="228"/>
        <v>DI</v>
      </c>
      <c r="G783" s="30" t="str">
        <f t="shared" si="225"/>
        <v>ATE/IO139/DI</v>
      </c>
      <c r="H783" s="90" t="str">
        <f>Paths!$B$3 &amp; I783 &amp; Paths!$B$8</f>
        <v>Targets/Controller/Custom Devices/FPGA Addon/Scalars/Scalar Inputs/DI.IO139/STATE</v>
      </c>
      <c r="I783" s="33" t="str">
        <f>I782</f>
        <v>IO139</v>
      </c>
      <c r="J783" s="104"/>
      <c r="K783" s="104"/>
      <c r="L783" s="107"/>
      <c r="M783" s="92"/>
      <c r="N783" s="95"/>
    </row>
    <row r="784" spans="1:14" x14ac:dyDescent="0.45">
      <c r="A784" s="98"/>
      <c r="B784" s="101"/>
      <c r="C784" s="70" t="str">
        <f>"PXIe-7820R/DIO" &amp; D784</f>
        <v>PXIe-7820R/DIO106</v>
      </c>
      <c r="D784" s="30">
        <f t="shared" si="227"/>
        <v>106</v>
      </c>
      <c r="E784" s="30" t="str">
        <f t="shared" si="228"/>
        <v>FPGA DI (PWM Meas.)</v>
      </c>
      <c r="F784" s="30" t="str">
        <f t="shared" si="228"/>
        <v>PWM_TIMEOUT</v>
      </c>
      <c r="G784" s="30" t="str">
        <f t="shared" si="225"/>
        <v>ATE/IO139/PWM_TIMEOUT</v>
      </c>
      <c r="H784" s="40" t="str">
        <f>Paths!$B$5 &amp; I784 &amp; Paths!$B$11</f>
        <v>Targets/Controller/Custom Devices/FPGA Addon/Scalars/Scalar Outputs/PWM.Set.IO139/TIMEOUT</v>
      </c>
      <c r="I784" s="33" t="str">
        <f>I781</f>
        <v>IO139</v>
      </c>
      <c r="J784" s="104"/>
      <c r="K784" s="104"/>
      <c r="L784" s="107"/>
      <c r="M784" s="92"/>
      <c r="N784" s="95"/>
    </row>
    <row r="785" spans="1:14" x14ac:dyDescent="0.45">
      <c r="A785" s="98"/>
      <c r="B785" s="101"/>
      <c r="C785" s="70" t="str">
        <f>"SLSC-12202-2/P" &amp; ROUNDDOWN(D785/8,0) &amp; "." &amp; MOD(D785,8)</f>
        <v>SLSC-12202-2/P1.2</v>
      </c>
      <c r="D785" s="30">
        <f t="shared" si="227"/>
        <v>10</v>
      </c>
      <c r="E785" s="30" t="str">
        <f t="shared" si="228"/>
        <v>Input</v>
      </c>
      <c r="F785" s="30" t="str">
        <f t="shared" si="228"/>
        <v>None</v>
      </c>
      <c r="G785" s="30" t="str">
        <f t="shared" si="225"/>
        <v>None</v>
      </c>
      <c r="H785" s="36" t="str">
        <f>Paths!$B$18 &amp; "port" &amp; ROUNDDOWN(D785/8,0) &amp; "//line" &amp;MOD(D785,8) &amp;"/Properties/NI.Line.Direction"</f>
        <v>Targets/Controller/Hardware/SLSC/SLSC Chassis/Modules/Slot 7 (SLSC EDS)/Physical Channels/port1//line2/Properties/NI.Line.Direction</v>
      </c>
      <c r="I785" s="33" t="str">
        <f>I781</f>
        <v>IO139</v>
      </c>
      <c r="J785" s="104"/>
      <c r="K785" s="104"/>
      <c r="L785" s="107"/>
      <c r="M785" s="92"/>
      <c r="N785" s="95"/>
    </row>
    <row r="786" spans="1:14" x14ac:dyDescent="0.45">
      <c r="A786" s="98"/>
      <c r="B786" s="101"/>
      <c r="C786" s="70" t="str">
        <f>"PXIe-6375/AI" &amp; D786</f>
        <v>PXIe-6375/AI162</v>
      </c>
      <c r="D786" s="30">
        <f t="shared" si="227"/>
        <v>162</v>
      </c>
      <c r="E786" s="56" t="str">
        <f t="shared" si="228"/>
        <v>Scaled current 0-8 A</v>
      </c>
      <c r="F786" s="30" t="str">
        <f t="shared" si="228"/>
        <v>TBD</v>
      </c>
      <c r="G786" s="30" t="str">
        <f t="shared" si="225"/>
        <v>None</v>
      </c>
      <c r="H786" s="41" t="str">
        <f>Paths!$B$27 &amp; I786 &amp; Paths!$B$29</f>
        <v>Targets/Controller/Calculated Channels/ATE/IO139/AI</v>
      </c>
      <c r="I786" s="33" t="str">
        <f>I781</f>
        <v>IO139</v>
      </c>
      <c r="J786" s="104"/>
      <c r="K786" s="104"/>
      <c r="L786" s="107"/>
      <c r="M786" s="92"/>
      <c r="N786" s="95"/>
    </row>
    <row r="787" spans="1:14" ht="14.65" thickBot="1" x14ac:dyDescent="0.5">
      <c r="A787" s="99"/>
      <c r="B787" s="102"/>
      <c r="C787" s="71" t="str">
        <f>"SLSC-12251-3/Ch" &amp; D787 &amp; "_DUT"</f>
        <v>SLSC-12251-3/Ch10_DUT</v>
      </c>
      <c r="D787" s="31">
        <f t="shared" si="227"/>
        <v>10</v>
      </c>
      <c r="E787" s="31" t="str">
        <f t="shared" si="228"/>
        <v>FIU</v>
      </c>
      <c r="F787" s="31" t="str">
        <f t="shared" si="228"/>
        <v>TBD</v>
      </c>
      <c r="G787" s="31" t="str">
        <f t="shared" si="225"/>
        <v>None</v>
      </c>
      <c r="H787" s="42" t="str">
        <f>Paths!$B$15 &amp; D787</f>
        <v>Targets/Controller/Hardware/SLSC/SLSC Chassis/Modules/Slot 3 (SLSC EDS :: SLSC-12251)/Physical Channels/Channel_10</v>
      </c>
      <c r="I787" s="59" t="str">
        <f>I781</f>
        <v>IO139</v>
      </c>
      <c r="J787" s="105"/>
      <c r="K787" s="105"/>
      <c r="L787" s="108"/>
      <c r="M787" s="93"/>
      <c r="N787" s="96"/>
    </row>
    <row r="788" spans="1:14" ht="15" customHeight="1" x14ac:dyDescent="0.45">
      <c r="A788" s="97">
        <f>A781+1</f>
        <v>140</v>
      </c>
      <c r="B788" s="100" t="str">
        <f>B781</f>
        <v>HIGH LOAD
DI: 0-60 V
AI: 0-60 V
EXT LOAD</v>
      </c>
      <c r="C788" s="69" t="str">
        <f>"PXIe-7820R/DIO" &amp; D788</f>
        <v>PXIe-7820R/DIO107</v>
      </c>
      <c r="D788" s="29">
        <f t="shared" si="227"/>
        <v>107</v>
      </c>
      <c r="E788" s="55" t="str">
        <f t="shared" si="228"/>
        <v>FPGA DI (PWM Meas.)</v>
      </c>
      <c r="F788" s="55" t="str">
        <f t="shared" si="228"/>
        <v>PWM_FR</v>
      </c>
      <c r="G788" s="29" t="str">
        <f t="shared" si="225"/>
        <v>ATE/IO140/PWM_FR</v>
      </c>
      <c r="H788" s="39" t="str">
        <f>Paths!$B$4 &amp; I788 &amp; Paths!$B$9</f>
        <v>Targets/Controller/Custom Devices/FPGA Addon/Scalars/Scalar Inputs/PWM.In.IO140/FREQ</v>
      </c>
      <c r="I788" s="32" t="str">
        <f>"IO" &amp; A788</f>
        <v>IO140</v>
      </c>
      <c r="J788" s="103" t="s">
        <v>6</v>
      </c>
      <c r="K788" s="103" t="s">
        <v>7</v>
      </c>
      <c r="L788" s="106"/>
      <c r="M788" s="91"/>
      <c r="N788" s="94"/>
    </row>
    <row r="789" spans="1:14" x14ac:dyDescent="0.45">
      <c r="A789" s="98"/>
      <c r="B789" s="101"/>
      <c r="C789" s="70" t="str">
        <f>"PXIe-7820R/DIO" &amp; D789</f>
        <v>PXIe-7820R/DIO107</v>
      </c>
      <c r="D789" s="30">
        <f t="shared" si="227"/>
        <v>107</v>
      </c>
      <c r="E789" s="30" t="str">
        <f t="shared" si="228"/>
        <v>FPGA DI (PWM Meas.)</v>
      </c>
      <c r="F789" s="30" t="str">
        <f t="shared" si="228"/>
        <v>PWM_DC</v>
      </c>
      <c r="G789" s="30" t="str">
        <f t="shared" si="225"/>
        <v>ATE/IO140/PWM_DC</v>
      </c>
      <c r="H789" s="40" t="str">
        <f>Paths!$B$4 &amp; I789 &amp; Paths!$B$10</f>
        <v>Targets/Controller/Custom Devices/FPGA Addon/Scalars/Scalar Inputs/PWM.In.IO140/DC</v>
      </c>
      <c r="I789" s="33" t="str">
        <f>I788</f>
        <v>IO140</v>
      </c>
      <c r="J789" s="104"/>
      <c r="K789" s="104"/>
      <c r="L789" s="107"/>
      <c r="M789" s="92"/>
      <c r="N789" s="95"/>
    </row>
    <row r="790" spans="1:14" x14ac:dyDescent="0.45">
      <c r="A790" s="98"/>
      <c r="B790" s="101"/>
      <c r="C790" s="70" t="str">
        <f>"PXIe-7820R/DIO" &amp; D790</f>
        <v>PXIe-7820R/DIO107</v>
      </c>
      <c r="D790" s="30">
        <f t="shared" si="227"/>
        <v>107</v>
      </c>
      <c r="E790" s="30" t="str">
        <f t="shared" si="228"/>
        <v>PFGA DI (DI State)</v>
      </c>
      <c r="F790" s="30" t="str">
        <f t="shared" si="228"/>
        <v>DI</v>
      </c>
      <c r="G790" s="30" t="str">
        <f t="shared" si="225"/>
        <v>ATE/IO140/DI</v>
      </c>
      <c r="H790" s="90" t="str">
        <f>Paths!$B$3 &amp; I790 &amp; Paths!$B$8</f>
        <v>Targets/Controller/Custom Devices/FPGA Addon/Scalars/Scalar Inputs/DI.IO140/STATE</v>
      </c>
      <c r="I790" s="33" t="str">
        <f>I789</f>
        <v>IO140</v>
      </c>
      <c r="J790" s="104"/>
      <c r="K790" s="104"/>
      <c r="L790" s="107"/>
      <c r="M790" s="92"/>
      <c r="N790" s="95"/>
    </row>
    <row r="791" spans="1:14" x14ac:dyDescent="0.45">
      <c r="A791" s="98"/>
      <c r="B791" s="101"/>
      <c r="C791" s="70" t="str">
        <f>"PXIe-7820R/DIO" &amp; D791</f>
        <v>PXIe-7820R/DIO107</v>
      </c>
      <c r="D791" s="30">
        <f t="shared" si="227"/>
        <v>107</v>
      </c>
      <c r="E791" s="30" t="str">
        <f t="shared" si="228"/>
        <v>FPGA DI (PWM Meas.)</v>
      </c>
      <c r="F791" s="30" t="str">
        <f t="shared" si="228"/>
        <v>PWM_TIMEOUT</v>
      </c>
      <c r="G791" s="30" t="str">
        <f t="shared" si="225"/>
        <v>ATE/IO140/PWM_TIMEOUT</v>
      </c>
      <c r="H791" s="40" t="str">
        <f>Paths!$B$5 &amp; I791 &amp; Paths!$B$11</f>
        <v>Targets/Controller/Custom Devices/FPGA Addon/Scalars/Scalar Outputs/PWM.Set.IO140/TIMEOUT</v>
      </c>
      <c r="I791" s="33" t="str">
        <f>I788</f>
        <v>IO140</v>
      </c>
      <c r="J791" s="104"/>
      <c r="K791" s="104"/>
      <c r="L791" s="107"/>
      <c r="M791" s="92"/>
      <c r="N791" s="95"/>
    </row>
    <row r="792" spans="1:14" x14ac:dyDescent="0.45">
      <c r="A792" s="98"/>
      <c r="B792" s="101"/>
      <c r="C792" s="70" t="str">
        <f>"SLSC-12202-2/P" &amp; ROUNDDOWN(D792/8,0) &amp; "." &amp; MOD(D792,8)</f>
        <v>SLSC-12202-2/P1.3</v>
      </c>
      <c r="D792" s="30">
        <f t="shared" si="227"/>
        <v>11</v>
      </c>
      <c r="E792" s="30" t="str">
        <f t="shared" si="228"/>
        <v>Input</v>
      </c>
      <c r="F792" s="30" t="str">
        <f t="shared" si="228"/>
        <v>None</v>
      </c>
      <c r="G792" s="30" t="str">
        <f t="shared" si="225"/>
        <v>None</v>
      </c>
      <c r="H792" s="36" t="str">
        <f>Paths!$B$18 &amp; "port" &amp; ROUNDDOWN(D792/8,0) &amp; "//line" &amp;MOD(D792,8) &amp;"/Properties/NI.Line.Direction"</f>
        <v>Targets/Controller/Hardware/SLSC/SLSC Chassis/Modules/Slot 7 (SLSC EDS)/Physical Channels/port1//line3/Properties/NI.Line.Direction</v>
      </c>
      <c r="I792" s="33" t="str">
        <f>I788</f>
        <v>IO140</v>
      </c>
      <c r="J792" s="104"/>
      <c r="K792" s="104"/>
      <c r="L792" s="107"/>
      <c r="M792" s="92"/>
      <c r="N792" s="95"/>
    </row>
    <row r="793" spans="1:14" x14ac:dyDescent="0.45">
      <c r="A793" s="98"/>
      <c r="B793" s="101"/>
      <c r="C793" s="70" t="str">
        <f>"PXIe-6375/AI" &amp; D793</f>
        <v>PXIe-6375/AI163</v>
      </c>
      <c r="D793" s="30">
        <f t="shared" si="227"/>
        <v>163</v>
      </c>
      <c r="E793" s="56" t="str">
        <f t="shared" si="228"/>
        <v>Scaled current 0-8 A</v>
      </c>
      <c r="F793" s="30" t="str">
        <f t="shared" si="228"/>
        <v>TBD</v>
      </c>
      <c r="G793" s="30" t="str">
        <f t="shared" si="225"/>
        <v>None</v>
      </c>
      <c r="H793" s="41" t="str">
        <f>Paths!$B$27 &amp; I793 &amp; Paths!$B$29</f>
        <v>Targets/Controller/Calculated Channels/ATE/IO140/AI</v>
      </c>
      <c r="I793" s="33" t="str">
        <f>I788</f>
        <v>IO140</v>
      </c>
      <c r="J793" s="104"/>
      <c r="K793" s="104"/>
      <c r="L793" s="107"/>
      <c r="M793" s="92"/>
      <c r="N793" s="95"/>
    </row>
    <row r="794" spans="1:14" ht="14.65" thickBot="1" x14ac:dyDescent="0.5">
      <c r="A794" s="99"/>
      <c r="B794" s="102"/>
      <c r="C794" s="71" t="str">
        <f>"SLSC-12251-3/Ch" &amp; D794 &amp; "_DUT"</f>
        <v>SLSC-12251-3/Ch11_DUT</v>
      </c>
      <c r="D794" s="31">
        <f t="shared" si="227"/>
        <v>11</v>
      </c>
      <c r="E794" s="31" t="str">
        <f t="shared" ref="E794:F813" si="229">E787</f>
        <v>FIU</v>
      </c>
      <c r="F794" s="31" t="str">
        <f t="shared" si="229"/>
        <v>TBD</v>
      </c>
      <c r="G794" s="31" t="str">
        <f t="shared" si="225"/>
        <v>None</v>
      </c>
      <c r="H794" s="42" t="str">
        <f>Paths!$B$15 &amp; D794</f>
        <v>Targets/Controller/Hardware/SLSC/SLSC Chassis/Modules/Slot 3 (SLSC EDS :: SLSC-12251)/Physical Channels/Channel_11</v>
      </c>
      <c r="I794" s="59" t="str">
        <f>I788</f>
        <v>IO140</v>
      </c>
      <c r="J794" s="105"/>
      <c r="K794" s="105"/>
      <c r="L794" s="108"/>
      <c r="M794" s="93"/>
      <c r="N794" s="96"/>
    </row>
    <row r="795" spans="1:14" ht="15" customHeight="1" x14ac:dyDescent="0.45">
      <c r="A795" s="97">
        <f>A788+1</f>
        <v>141</v>
      </c>
      <c r="B795" s="100" t="str">
        <f>B788</f>
        <v>HIGH LOAD
DI: 0-60 V
AI: 0-60 V
EXT LOAD</v>
      </c>
      <c r="C795" s="69" t="str">
        <f>"PXIe-7820R/DIO" &amp; D795</f>
        <v>PXIe-7820R/DIO108</v>
      </c>
      <c r="D795" s="29">
        <f t="shared" si="227"/>
        <v>108</v>
      </c>
      <c r="E795" s="55" t="str">
        <f t="shared" si="229"/>
        <v>FPGA DI (PWM Meas.)</v>
      </c>
      <c r="F795" s="55" t="str">
        <f t="shared" si="229"/>
        <v>PWM_FR</v>
      </c>
      <c r="G795" s="29" t="str">
        <f t="shared" si="225"/>
        <v>ATE/IO141/PWM_FR</v>
      </c>
      <c r="H795" s="39" t="str">
        <f>Paths!$B$4 &amp; I795 &amp; Paths!$B$9</f>
        <v>Targets/Controller/Custom Devices/FPGA Addon/Scalars/Scalar Inputs/PWM.In.IO141/FREQ</v>
      </c>
      <c r="I795" s="32" t="str">
        <f>"IO" &amp; A795</f>
        <v>IO141</v>
      </c>
      <c r="J795" s="103" t="s">
        <v>6</v>
      </c>
      <c r="K795" s="103" t="s">
        <v>7</v>
      </c>
      <c r="L795" s="106"/>
      <c r="M795" s="91"/>
      <c r="N795" s="94"/>
    </row>
    <row r="796" spans="1:14" x14ac:dyDescent="0.45">
      <c r="A796" s="98"/>
      <c r="B796" s="101"/>
      <c r="C796" s="70" t="str">
        <f>"PXIe-7820R/DIO" &amp; D796</f>
        <v>PXIe-7820R/DIO108</v>
      </c>
      <c r="D796" s="30">
        <f t="shared" si="227"/>
        <v>108</v>
      </c>
      <c r="E796" s="30" t="str">
        <f t="shared" si="229"/>
        <v>FPGA DI (PWM Meas.)</v>
      </c>
      <c r="F796" s="30" t="str">
        <f t="shared" si="229"/>
        <v>PWM_DC</v>
      </c>
      <c r="G796" s="30" t="str">
        <f t="shared" si="225"/>
        <v>ATE/IO141/PWM_DC</v>
      </c>
      <c r="H796" s="40" t="str">
        <f>Paths!$B$4 &amp; I796 &amp; Paths!$B$10</f>
        <v>Targets/Controller/Custom Devices/FPGA Addon/Scalars/Scalar Inputs/PWM.In.IO141/DC</v>
      </c>
      <c r="I796" s="33" t="str">
        <f>I795</f>
        <v>IO141</v>
      </c>
      <c r="J796" s="104"/>
      <c r="K796" s="104"/>
      <c r="L796" s="107"/>
      <c r="M796" s="92"/>
      <c r="N796" s="95"/>
    </row>
    <row r="797" spans="1:14" x14ac:dyDescent="0.45">
      <c r="A797" s="98"/>
      <c r="B797" s="101"/>
      <c r="C797" s="70" t="str">
        <f>"PXIe-7820R/DIO" &amp; D797</f>
        <v>PXIe-7820R/DIO108</v>
      </c>
      <c r="D797" s="30">
        <f t="shared" si="227"/>
        <v>108</v>
      </c>
      <c r="E797" s="30" t="str">
        <f t="shared" si="229"/>
        <v>PFGA DI (DI State)</v>
      </c>
      <c r="F797" s="30" t="str">
        <f t="shared" si="229"/>
        <v>DI</v>
      </c>
      <c r="G797" s="30" t="str">
        <f t="shared" si="225"/>
        <v>ATE/IO141/DI</v>
      </c>
      <c r="H797" s="90" t="str">
        <f>Paths!$B$3 &amp; I797 &amp; Paths!$B$8</f>
        <v>Targets/Controller/Custom Devices/FPGA Addon/Scalars/Scalar Inputs/DI.IO141/STATE</v>
      </c>
      <c r="I797" s="33" t="str">
        <f>I796</f>
        <v>IO141</v>
      </c>
      <c r="J797" s="104"/>
      <c r="K797" s="104"/>
      <c r="L797" s="107"/>
      <c r="M797" s="92"/>
      <c r="N797" s="95"/>
    </row>
    <row r="798" spans="1:14" x14ac:dyDescent="0.45">
      <c r="A798" s="98"/>
      <c r="B798" s="101"/>
      <c r="C798" s="70" t="str">
        <f>"PXIe-7820R/DIO" &amp; D798</f>
        <v>PXIe-7820R/DIO108</v>
      </c>
      <c r="D798" s="30">
        <f t="shared" si="227"/>
        <v>108</v>
      </c>
      <c r="E798" s="30" t="str">
        <f t="shared" si="229"/>
        <v>FPGA DI (PWM Meas.)</v>
      </c>
      <c r="F798" s="30" t="str">
        <f t="shared" si="229"/>
        <v>PWM_TIMEOUT</v>
      </c>
      <c r="G798" s="30" t="str">
        <f t="shared" si="225"/>
        <v>ATE/IO141/PWM_TIMEOUT</v>
      </c>
      <c r="H798" s="40" t="str">
        <f>Paths!$B$5 &amp; I798 &amp; Paths!$B$11</f>
        <v>Targets/Controller/Custom Devices/FPGA Addon/Scalars/Scalar Outputs/PWM.Set.IO141/TIMEOUT</v>
      </c>
      <c r="I798" s="33" t="str">
        <f>I795</f>
        <v>IO141</v>
      </c>
      <c r="J798" s="104"/>
      <c r="K798" s="104"/>
      <c r="L798" s="107"/>
      <c r="M798" s="92"/>
      <c r="N798" s="95"/>
    </row>
    <row r="799" spans="1:14" x14ac:dyDescent="0.45">
      <c r="A799" s="98"/>
      <c r="B799" s="101"/>
      <c r="C799" s="70" t="str">
        <f>"SLSC-12202-2/P" &amp; ROUNDDOWN(D799/8,0) &amp; "." &amp; MOD(D799,8)</f>
        <v>SLSC-12202-2/P1.4</v>
      </c>
      <c r="D799" s="30">
        <f t="shared" si="227"/>
        <v>12</v>
      </c>
      <c r="E799" s="30" t="str">
        <f t="shared" si="229"/>
        <v>Input</v>
      </c>
      <c r="F799" s="30" t="str">
        <f t="shared" si="229"/>
        <v>None</v>
      </c>
      <c r="G799" s="30" t="str">
        <f t="shared" si="225"/>
        <v>None</v>
      </c>
      <c r="H799" s="36" t="str">
        <f>Paths!$B$18 &amp; "port" &amp; ROUNDDOWN(D799/8,0) &amp; "//line" &amp;MOD(D799,8) &amp;"/Properties/NI.Line.Direction"</f>
        <v>Targets/Controller/Hardware/SLSC/SLSC Chassis/Modules/Slot 7 (SLSC EDS)/Physical Channels/port1//line4/Properties/NI.Line.Direction</v>
      </c>
      <c r="I799" s="33" t="str">
        <f>I795</f>
        <v>IO141</v>
      </c>
      <c r="J799" s="104"/>
      <c r="K799" s="104"/>
      <c r="L799" s="107"/>
      <c r="M799" s="92"/>
      <c r="N799" s="95"/>
    </row>
    <row r="800" spans="1:14" x14ac:dyDescent="0.45">
      <c r="A800" s="98"/>
      <c r="B800" s="101"/>
      <c r="C800" s="70" t="str">
        <f>"PXIe-6375/AI" &amp; D800</f>
        <v>PXIe-6375/AI164</v>
      </c>
      <c r="D800" s="30">
        <f t="shared" si="227"/>
        <v>164</v>
      </c>
      <c r="E800" s="56" t="str">
        <f t="shared" si="229"/>
        <v>Scaled current 0-8 A</v>
      </c>
      <c r="F800" s="30" t="str">
        <f t="shared" si="229"/>
        <v>TBD</v>
      </c>
      <c r="G800" s="30" t="str">
        <f t="shared" si="225"/>
        <v>None</v>
      </c>
      <c r="H800" s="41" t="str">
        <f>Paths!$B$27 &amp; I800 &amp; Paths!$B$29</f>
        <v>Targets/Controller/Calculated Channels/ATE/IO141/AI</v>
      </c>
      <c r="I800" s="33" t="str">
        <f>I795</f>
        <v>IO141</v>
      </c>
      <c r="J800" s="104"/>
      <c r="K800" s="104"/>
      <c r="L800" s="107"/>
      <c r="M800" s="92"/>
      <c r="N800" s="95"/>
    </row>
    <row r="801" spans="1:14" ht="14.65" thickBot="1" x14ac:dyDescent="0.5">
      <c r="A801" s="99"/>
      <c r="B801" s="102"/>
      <c r="C801" s="71" t="str">
        <f>"SLSC-12251-3/Ch" &amp; D801 &amp; "_DUT"</f>
        <v>SLSC-12251-3/Ch12_DUT</v>
      </c>
      <c r="D801" s="31">
        <f t="shared" si="227"/>
        <v>12</v>
      </c>
      <c r="E801" s="31" t="str">
        <f t="shared" si="229"/>
        <v>FIU</v>
      </c>
      <c r="F801" s="31" t="str">
        <f t="shared" si="229"/>
        <v>TBD</v>
      </c>
      <c r="G801" s="31" t="str">
        <f t="shared" si="225"/>
        <v>None</v>
      </c>
      <c r="H801" s="42" t="str">
        <f>Paths!$B$15 &amp; D801</f>
        <v>Targets/Controller/Hardware/SLSC/SLSC Chassis/Modules/Slot 3 (SLSC EDS :: SLSC-12251)/Physical Channels/Channel_12</v>
      </c>
      <c r="I801" s="59" t="str">
        <f>I795</f>
        <v>IO141</v>
      </c>
      <c r="J801" s="105"/>
      <c r="K801" s="105"/>
      <c r="L801" s="108"/>
      <c r="M801" s="93"/>
      <c r="N801" s="96"/>
    </row>
    <row r="802" spans="1:14" ht="15" customHeight="1" x14ac:dyDescent="0.45">
      <c r="A802" s="97">
        <f>A795+1</f>
        <v>142</v>
      </c>
      <c r="B802" s="100" t="str">
        <f>B795</f>
        <v>HIGH LOAD
DI: 0-60 V
AI: 0-60 V
EXT LOAD</v>
      </c>
      <c r="C802" s="69" t="str">
        <f>"PXIe-7820R/DIO" &amp; D802</f>
        <v>PXIe-7820R/DIO109</v>
      </c>
      <c r="D802" s="29">
        <f t="shared" si="227"/>
        <v>109</v>
      </c>
      <c r="E802" s="55" t="str">
        <f t="shared" si="229"/>
        <v>FPGA DI (PWM Meas.)</v>
      </c>
      <c r="F802" s="55" t="str">
        <f t="shared" si="229"/>
        <v>PWM_FR</v>
      </c>
      <c r="G802" s="29" t="str">
        <f t="shared" si="225"/>
        <v>ATE/IO142/PWM_FR</v>
      </c>
      <c r="H802" s="39" t="str">
        <f>Paths!$B$4 &amp; I802 &amp; Paths!$B$9</f>
        <v>Targets/Controller/Custom Devices/FPGA Addon/Scalars/Scalar Inputs/PWM.In.IO142/FREQ</v>
      </c>
      <c r="I802" s="32" t="str">
        <f>"IO" &amp; A802</f>
        <v>IO142</v>
      </c>
      <c r="J802" s="103" t="s">
        <v>6</v>
      </c>
      <c r="K802" s="103" t="s">
        <v>7</v>
      </c>
      <c r="L802" s="106"/>
      <c r="M802" s="91"/>
      <c r="N802" s="94"/>
    </row>
    <row r="803" spans="1:14" x14ac:dyDescent="0.45">
      <c r="A803" s="98"/>
      <c r="B803" s="101"/>
      <c r="C803" s="70" t="str">
        <f>"PXIe-7820R/DIO" &amp; D803</f>
        <v>PXIe-7820R/DIO109</v>
      </c>
      <c r="D803" s="30">
        <f t="shared" si="227"/>
        <v>109</v>
      </c>
      <c r="E803" s="30" t="str">
        <f t="shared" si="229"/>
        <v>FPGA DI (PWM Meas.)</v>
      </c>
      <c r="F803" s="30" t="str">
        <f t="shared" si="229"/>
        <v>PWM_DC</v>
      </c>
      <c r="G803" s="30" t="str">
        <f t="shared" si="225"/>
        <v>ATE/IO142/PWM_DC</v>
      </c>
      <c r="H803" s="40" t="str">
        <f>Paths!$B$4 &amp; I803 &amp; Paths!$B$10</f>
        <v>Targets/Controller/Custom Devices/FPGA Addon/Scalars/Scalar Inputs/PWM.In.IO142/DC</v>
      </c>
      <c r="I803" s="33" t="str">
        <f>I802</f>
        <v>IO142</v>
      </c>
      <c r="J803" s="104"/>
      <c r="K803" s="104"/>
      <c r="L803" s="107"/>
      <c r="M803" s="92"/>
      <c r="N803" s="95"/>
    </row>
    <row r="804" spans="1:14" x14ac:dyDescent="0.45">
      <c r="A804" s="98"/>
      <c r="B804" s="101"/>
      <c r="C804" s="70" t="str">
        <f>"PXIe-7820R/DIO" &amp; D804</f>
        <v>PXIe-7820R/DIO109</v>
      </c>
      <c r="D804" s="30">
        <f t="shared" si="227"/>
        <v>109</v>
      </c>
      <c r="E804" s="30" t="str">
        <f t="shared" si="229"/>
        <v>PFGA DI (DI State)</v>
      </c>
      <c r="F804" s="30" t="str">
        <f t="shared" si="229"/>
        <v>DI</v>
      </c>
      <c r="G804" s="30" t="str">
        <f t="shared" si="225"/>
        <v>ATE/IO142/DI</v>
      </c>
      <c r="H804" s="90" t="str">
        <f>Paths!$B$3 &amp; I804 &amp; Paths!$B$8</f>
        <v>Targets/Controller/Custom Devices/FPGA Addon/Scalars/Scalar Inputs/DI.IO142/STATE</v>
      </c>
      <c r="I804" s="33" t="str">
        <f>I803</f>
        <v>IO142</v>
      </c>
      <c r="J804" s="104"/>
      <c r="K804" s="104"/>
      <c r="L804" s="107"/>
      <c r="M804" s="92"/>
      <c r="N804" s="95"/>
    </row>
    <row r="805" spans="1:14" x14ac:dyDescent="0.45">
      <c r="A805" s="98"/>
      <c r="B805" s="101"/>
      <c r="C805" s="70" t="str">
        <f>"PXIe-7820R/DIO" &amp; D805</f>
        <v>PXIe-7820R/DIO109</v>
      </c>
      <c r="D805" s="30">
        <f t="shared" ref="D805:D826" si="230">D798+1</f>
        <v>109</v>
      </c>
      <c r="E805" s="30" t="str">
        <f t="shared" si="229"/>
        <v>FPGA DI (PWM Meas.)</v>
      </c>
      <c r="F805" s="30" t="str">
        <f t="shared" si="229"/>
        <v>PWM_TIMEOUT</v>
      </c>
      <c r="G805" s="30" t="str">
        <f t="shared" si="225"/>
        <v>ATE/IO142/PWM_TIMEOUT</v>
      </c>
      <c r="H805" s="40" t="str">
        <f>Paths!$B$5 &amp; I805 &amp; Paths!$B$11</f>
        <v>Targets/Controller/Custom Devices/FPGA Addon/Scalars/Scalar Outputs/PWM.Set.IO142/TIMEOUT</v>
      </c>
      <c r="I805" s="33" t="str">
        <f>I802</f>
        <v>IO142</v>
      </c>
      <c r="J805" s="104"/>
      <c r="K805" s="104"/>
      <c r="L805" s="107"/>
      <c r="M805" s="92"/>
      <c r="N805" s="95"/>
    </row>
    <row r="806" spans="1:14" x14ac:dyDescent="0.45">
      <c r="A806" s="98"/>
      <c r="B806" s="101"/>
      <c r="C806" s="70" t="str">
        <f>"SLSC-12202-2/P" &amp; ROUNDDOWN(D806/8,0) &amp; "." &amp; MOD(D806,8)</f>
        <v>SLSC-12202-2/P1.5</v>
      </c>
      <c r="D806" s="30">
        <f t="shared" si="230"/>
        <v>13</v>
      </c>
      <c r="E806" s="30" t="str">
        <f t="shared" si="229"/>
        <v>Input</v>
      </c>
      <c r="F806" s="30" t="str">
        <f t="shared" si="229"/>
        <v>None</v>
      </c>
      <c r="G806" s="30" t="str">
        <f t="shared" si="225"/>
        <v>None</v>
      </c>
      <c r="H806" s="36" t="str">
        <f>Paths!$B$18 &amp; "port" &amp; ROUNDDOWN(D806/8,0) &amp; "//line" &amp;MOD(D806,8) &amp;"/Properties/NI.Line.Direction"</f>
        <v>Targets/Controller/Hardware/SLSC/SLSC Chassis/Modules/Slot 7 (SLSC EDS)/Physical Channels/port1//line5/Properties/NI.Line.Direction</v>
      </c>
      <c r="I806" s="33" t="str">
        <f>I802</f>
        <v>IO142</v>
      </c>
      <c r="J806" s="104"/>
      <c r="K806" s="104"/>
      <c r="L806" s="107"/>
      <c r="M806" s="92"/>
      <c r="N806" s="95"/>
    </row>
    <row r="807" spans="1:14" x14ac:dyDescent="0.45">
      <c r="A807" s="98"/>
      <c r="B807" s="101"/>
      <c r="C807" s="70" t="str">
        <f>"PXIe-6375/AI" &amp; D807</f>
        <v>PXIe-6375/AI165</v>
      </c>
      <c r="D807" s="30">
        <f t="shared" si="230"/>
        <v>165</v>
      </c>
      <c r="E807" s="56" t="str">
        <f t="shared" si="229"/>
        <v>Scaled current 0-8 A</v>
      </c>
      <c r="F807" s="30" t="str">
        <f t="shared" si="229"/>
        <v>TBD</v>
      </c>
      <c r="G807" s="30" t="str">
        <f t="shared" si="225"/>
        <v>None</v>
      </c>
      <c r="H807" s="41" t="str">
        <f>Paths!$B$27 &amp; I807 &amp; Paths!$B$29</f>
        <v>Targets/Controller/Calculated Channels/ATE/IO142/AI</v>
      </c>
      <c r="I807" s="33" t="str">
        <f>I802</f>
        <v>IO142</v>
      </c>
      <c r="J807" s="104"/>
      <c r="K807" s="104"/>
      <c r="L807" s="107"/>
      <c r="M807" s="92"/>
      <c r="N807" s="95"/>
    </row>
    <row r="808" spans="1:14" ht="14.65" thickBot="1" x14ac:dyDescent="0.5">
      <c r="A808" s="99"/>
      <c r="B808" s="102"/>
      <c r="C808" s="71" t="str">
        <f>"SLSC-12251-3/Ch" &amp; D808 &amp; "_DUT"</f>
        <v>SLSC-12251-3/Ch13_DUT</v>
      </c>
      <c r="D808" s="31">
        <f t="shared" si="230"/>
        <v>13</v>
      </c>
      <c r="E808" s="31" t="str">
        <f t="shared" si="229"/>
        <v>FIU</v>
      </c>
      <c r="F808" s="31" t="str">
        <f t="shared" si="229"/>
        <v>TBD</v>
      </c>
      <c r="G808" s="31" t="str">
        <f t="shared" si="225"/>
        <v>None</v>
      </c>
      <c r="H808" s="42" t="str">
        <f>Paths!$B$15 &amp; D808</f>
        <v>Targets/Controller/Hardware/SLSC/SLSC Chassis/Modules/Slot 3 (SLSC EDS :: SLSC-12251)/Physical Channels/Channel_13</v>
      </c>
      <c r="I808" s="59" t="str">
        <f>I802</f>
        <v>IO142</v>
      </c>
      <c r="J808" s="105"/>
      <c r="K808" s="105"/>
      <c r="L808" s="108"/>
      <c r="M808" s="93"/>
      <c r="N808" s="96"/>
    </row>
    <row r="809" spans="1:14" ht="15" customHeight="1" x14ac:dyDescent="0.45">
      <c r="A809" s="97">
        <f>A802+1</f>
        <v>143</v>
      </c>
      <c r="B809" s="100" t="str">
        <f>B802</f>
        <v>HIGH LOAD
DI: 0-60 V
AI: 0-60 V
EXT LOAD</v>
      </c>
      <c r="C809" s="69" t="str">
        <f>"PXIe-7820R/DIO" &amp; D809</f>
        <v>PXIe-7820R/DIO110</v>
      </c>
      <c r="D809" s="29">
        <f t="shared" si="230"/>
        <v>110</v>
      </c>
      <c r="E809" s="55" t="str">
        <f t="shared" si="229"/>
        <v>FPGA DI (PWM Meas.)</v>
      </c>
      <c r="F809" s="55" t="str">
        <f t="shared" si="229"/>
        <v>PWM_FR</v>
      </c>
      <c r="G809" s="29" t="str">
        <f t="shared" si="225"/>
        <v>ATE/IO143/PWM_FR</v>
      </c>
      <c r="H809" s="39" t="str">
        <f>Paths!$B$4 &amp; I809 &amp; Paths!$B$9</f>
        <v>Targets/Controller/Custom Devices/FPGA Addon/Scalars/Scalar Inputs/PWM.In.IO143/FREQ</v>
      </c>
      <c r="I809" s="32" t="str">
        <f>"IO" &amp; A809</f>
        <v>IO143</v>
      </c>
      <c r="J809" s="103" t="s">
        <v>6</v>
      </c>
      <c r="K809" s="103" t="s">
        <v>7</v>
      </c>
      <c r="L809" s="106"/>
      <c r="M809" s="91"/>
      <c r="N809" s="94"/>
    </row>
    <row r="810" spans="1:14" x14ac:dyDescent="0.45">
      <c r="A810" s="98"/>
      <c r="B810" s="101"/>
      <c r="C810" s="70" t="str">
        <f>"PXIe-7820R/DIO" &amp; D810</f>
        <v>PXIe-7820R/DIO110</v>
      </c>
      <c r="D810" s="30">
        <f t="shared" si="230"/>
        <v>110</v>
      </c>
      <c r="E810" s="30" t="str">
        <f t="shared" si="229"/>
        <v>FPGA DI (PWM Meas.)</v>
      </c>
      <c r="F810" s="30" t="str">
        <f t="shared" si="229"/>
        <v>PWM_DC</v>
      </c>
      <c r="G810" s="30" t="str">
        <f t="shared" si="225"/>
        <v>ATE/IO143/PWM_DC</v>
      </c>
      <c r="H810" s="40" t="str">
        <f>Paths!$B$4 &amp; I810 &amp; Paths!$B$10</f>
        <v>Targets/Controller/Custom Devices/FPGA Addon/Scalars/Scalar Inputs/PWM.In.IO143/DC</v>
      </c>
      <c r="I810" s="33" t="str">
        <f>I809</f>
        <v>IO143</v>
      </c>
      <c r="J810" s="104"/>
      <c r="K810" s="104"/>
      <c r="L810" s="107"/>
      <c r="M810" s="92"/>
      <c r="N810" s="95"/>
    </row>
    <row r="811" spans="1:14" x14ac:dyDescent="0.45">
      <c r="A811" s="98"/>
      <c r="B811" s="101"/>
      <c r="C811" s="70" t="str">
        <f>"PXIe-7820R/DIO" &amp; D811</f>
        <v>PXIe-7820R/DIO110</v>
      </c>
      <c r="D811" s="30">
        <f t="shared" si="230"/>
        <v>110</v>
      </c>
      <c r="E811" s="30" t="str">
        <f t="shared" si="229"/>
        <v>PFGA DI (DI State)</v>
      </c>
      <c r="F811" s="30" t="str">
        <f t="shared" si="229"/>
        <v>DI</v>
      </c>
      <c r="G811" s="30" t="str">
        <f t="shared" si="225"/>
        <v>ATE/IO143/DI</v>
      </c>
      <c r="H811" s="90" t="str">
        <f>Paths!$B$3 &amp; I811 &amp; Paths!$B$8</f>
        <v>Targets/Controller/Custom Devices/FPGA Addon/Scalars/Scalar Inputs/DI.IO143/STATE</v>
      </c>
      <c r="I811" s="33" t="str">
        <f>I810</f>
        <v>IO143</v>
      </c>
      <c r="J811" s="104"/>
      <c r="K811" s="104"/>
      <c r="L811" s="107"/>
      <c r="M811" s="92"/>
      <c r="N811" s="95"/>
    </row>
    <row r="812" spans="1:14" x14ac:dyDescent="0.45">
      <c r="A812" s="98"/>
      <c r="B812" s="101"/>
      <c r="C812" s="70" t="str">
        <f>"PXIe-7820R/DIO" &amp; D812</f>
        <v>PXIe-7820R/DIO110</v>
      </c>
      <c r="D812" s="30">
        <f t="shared" si="230"/>
        <v>110</v>
      </c>
      <c r="E812" s="30" t="str">
        <f t="shared" si="229"/>
        <v>FPGA DI (PWM Meas.)</v>
      </c>
      <c r="F812" s="30" t="str">
        <f t="shared" si="229"/>
        <v>PWM_TIMEOUT</v>
      </c>
      <c r="G812" s="30" t="str">
        <f t="shared" si="225"/>
        <v>ATE/IO143/PWM_TIMEOUT</v>
      </c>
      <c r="H812" s="40" t="str">
        <f>Paths!$B$5 &amp; I812 &amp; Paths!$B$11</f>
        <v>Targets/Controller/Custom Devices/FPGA Addon/Scalars/Scalar Outputs/PWM.Set.IO143/TIMEOUT</v>
      </c>
      <c r="I812" s="33" t="str">
        <f>I809</f>
        <v>IO143</v>
      </c>
      <c r="J812" s="104"/>
      <c r="K812" s="104"/>
      <c r="L812" s="107"/>
      <c r="M812" s="92"/>
      <c r="N812" s="95"/>
    </row>
    <row r="813" spans="1:14" x14ac:dyDescent="0.45">
      <c r="A813" s="98"/>
      <c r="B813" s="101"/>
      <c r="C813" s="70" t="str">
        <f>"SLSC-12202-2/P" &amp; ROUNDDOWN(D813/8,0) &amp; "." &amp; MOD(D813,8)</f>
        <v>SLSC-12202-2/P1.6</v>
      </c>
      <c r="D813" s="30">
        <f t="shared" si="230"/>
        <v>14</v>
      </c>
      <c r="E813" s="30" t="str">
        <f t="shared" si="229"/>
        <v>Input</v>
      </c>
      <c r="F813" s="30" t="str">
        <f t="shared" si="229"/>
        <v>None</v>
      </c>
      <c r="G813" s="30" t="str">
        <f t="shared" si="225"/>
        <v>None</v>
      </c>
      <c r="H813" s="36" t="str">
        <f>Paths!$B$18 &amp; "port" &amp; ROUNDDOWN(D813/8,0) &amp; "//line" &amp;MOD(D813,8) &amp;"/Properties/NI.Line.Direction"</f>
        <v>Targets/Controller/Hardware/SLSC/SLSC Chassis/Modules/Slot 7 (SLSC EDS)/Physical Channels/port1//line6/Properties/NI.Line.Direction</v>
      </c>
      <c r="I813" s="33" t="str">
        <f>I809</f>
        <v>IO143</v>
      </c>
      <c r="J813" s="104"/>
      <c r="K813" s="104"/>
      <c r="L813" s="107"/>
      <c r="M813" s="92"/>
      <c r="N813" s="95"/>
    </row>
    <row r="814" spans="1:14" x14ac:dyDescent="0.45">
      <c r="A814" s="98"/>
      <c r="B814" s="101"/>
      <c r="C814" s="70" t="str">
        <f>"PXIe-6375/AI" &amp; D814</f>
        <v>PXIe-6375/AI166</v>
      </c>
      <c r="D814" s="30">
        <f t="shared" si="230"/>
        <v>166</v>
      </c>
      <c r="E814" s="56" t="str">
        <f t="shared" ref="E814:F833" si="231">E807</f>
        <v>Scaled current 0-8 A</v>
      </c>
      <c r="F814" s="30" t="str">
        <f t="shared" si="231"/>
        <v>TBD</v>
      </c>
      <c r="G814" s="30" t="str">
        <f t="shared" si="225"/>
        <v>None</v>
      </c>
      <c r="H814" s="41" t="str">
        <f>Paths!$B$27 &amp; I814 &amp; Paths!$B$29</f>
        <v>Targets/Controller/Calculated Channels/ATE/IO143/AI</v>
      </c>
      <c r="I814" s="33" t="str">
        <f>I809</f>
        <v>IO143</v>
      </c>
      <c r="J814" s="104"/>
      <c r="K814" s="104"/>
      <c r="L814" s="107"/>
      <c r="M814" s="92"/>
      <c r="N814" s="95"/>
    </row>
    <row r="815" spans="1:14" ht="14.65" thickBot="1" x14ac:dyDescent="0.5">
      <c r="A815" s="99"/>
      <c r="B815" s="102"/>
      <c r="C815" s="71" t="str">
        <f>"SLSC-12251-3/Ch" &amp; D815 &amp; "_DUT"</f>
        <v>SLSC-12251-3/Ch14_DUT</v>
      </c>
      <c r="D815" s="31">
        <f t="shared" si="230"/>
        <v>14</v>
      </c>
      <c r="E815" s="31" t="str">
        <f t="shared" si="231"/>
        <v>FIU</v>
      </c>
      <c r="F815" s="31" t="str">
        <f t="shared" si="231"/>
        <v>TBD</v>
      </c>
      <c r="G815" s="31" t="str">
        <f t="shared" si="225"/>
        <v>None</v>
      </c>
      <c r="H815" s="42" t="str">
        <f>Paths!$B$15 &amp; D815</f>
        <v>Targets/Controller/Hardware/SLSC/SLSC Chassis/Modules/Slot 3 (SLSC EDS :: SLSC-12251)/Physical Channels/Channel_14</v>
      </c>
      <c r="I815" s="59" t="str">
        <f>I809</f>
        <v>IO143</v>
      </c>
      <c r="J815" s="105"/>
      <c r="K815" s="105"/>
      <c r="L815" s="108"/>
      <c r="M815" s="93"/>
      <c r="N815" s="96"/>
    </row>
    <row r="816" spans="1:14" ht="15" customHeight="1" x14ac:dyDescent="0.45">
      <c r="A816" s="97">
        <f>A809+1</f>
        <v>144</v>
      </c>
      <c r="B816" s="100" t="str">
        <f>B809</f>
        <v>HIGH LOAD
DI: 0-60 V
AI: 0-60 V
EXT LOAD</v>
      </c>
      <c r="C816" s="69" t="str">
        <f>"PXIe-7820R/DIO" &amp; D816</f>
        <v>PXIe-7820R/DIO111</v>
      </c>
      <c r="D816" s="29">
        <f t="shared" si="230"/>
        <v>111</v>
      </c>
      <c r="E816" s="55" t="str">
        <f t="shared" si="231"/>
        <v>FPGA DI (PWM Meas.)</v>
      </c>
      <c r="F816" s="55" t="str">
        <f t="shared" si="231"/>
        <v>PWM_FR</v>
      </c>
      <c r="G816" s="29" t="str">
        <f t="shared" si="225"/>
        <v>ATE/IO144/PWM_FR</v>
      </c>
      <c r="H816" s="39" t="str">
        <f>Paths!$B$4 &amp; I816 &amp; Paths!$B$9</f>
        <v>Targets/Controller/Custom Devices/FPGA Addon/Scalars/Scalar Inputs/PWM.In.IO144/FREQ</v>
      </c>
      <c r="I816" s="32" t="str">
        <f>"IO" &amp; A816</f>
        <v>IO144</v>
      </c>
      <c r="J816" s="103" t="s">
        <v>6</v>
      </c>
      <c r="K816" s="103" t="s">
        <v>7</v>
      </c>
      <c r="L816" s="106"/>
      <c r="M816" s="91"/>
      <c r="N816" s="94"/>
    </row>
    <row r="817" spans="1:14" x14ac:dyDescent="0.45">
      <c r="A817" s="98"/>
      <c r="B817" s="101"/>
      <c r="C817" s="70" t="str">
        <f>"PXIe-7820R/DIO" &amp; D817</f>
        <v>PXIe-7820R/DIO111</v>
      </c>
      <c r="D817" s="30">
        <f t="shared" si="230"/>
        <v>111</v>
      </c>
      <c r="E817" s="30" t="str">
        <f t="shared" si="231"/>
        <v>FPGA DI (PWM Meas.)</v>
      </c>
      <c r="F817" s="30" t="str">
        <f t="shared" si="231"/>
        <v>PWM_DC</v>
      </c>
      <c r="G817" s="30" t="str">
        <f t="shared" si="225"/>
        <v>ATE/IO144/PWM_DC</v>
      </c>
      <c r="H817" s="40" t="str">
        <f>Paths!$B$4 &amp; I817 &amp; Paths!$B$10</f>
        <v>Targets/Controller/Custom Devices/FPGA Addon/Scalars/Scalar Inputs/PWM.In.IO144/DC</v>
      </c>
      <c r="I817" s="33" t="str">
        <f>I816</f>
        <v>IO144</v>
      </c>
      <c r="J817" s="104"/>
      <c r="K817" s="104"/>
      <c r="L817" s="107"/>
      <c r="M817" s="92"/>
      <c r="N817" s="95"/>
    </row>
    <row r="818" spans="1:14" x14ac:dyDescent="0.45">
      <c r="A818" s="98"/>
      <c r="B818" s="101"/>
      <c r="C818" s="70" t="str">
        <f>"PXIe-7820R/DIO" &amp; D818</f>
        <v>PXIe-7820R/DIO111</v>
      </c>
      <c r="D818" s="30">
        <f t="shared" si="230"/>
        <v>111</v>
      </c>
      <c r="E818" s="30" t="str">
        <f t="shared" si="231"/>
        <v>PFGA DI (DI State)</v>
      </c>
      <c r="F818" s="30" t="str">
        <f t="shared" si="231"/>
        <v>DI</v>
      </c>
      <c r="G818" s="30" t="str">
        <f t="shared" si="225"/>
        <v>ATE/IO144/DI</v>
      </c>
      <c r="H818" s="90" t="str">
        <f>Paths!$B$3 &amp; I818 &amp; Paths!$B$8</f>
        <v>Targets/Controller/Custom Devices/FPGA Addon/Scalars/Scalar Inputs/DI.IO144/STATE</v>
      </c>
      <c r="I818" s="33" t="str">
        <f>I817</f>
        <v>IO144</v>
      </c>
      <c r="J818" s="104"/>
      <c r="K818" s="104"/>
      <c r="L818" s="107"/>
      <c r="M818" s="92"/>
      <c r="N818" s="95"/>
    </row>
    <row r="819" spans="1:14" x14ac:dyDescent="0.45">
      <c r="A819" s="98"/>
      <c r="B819" s="101"/>
      <c r="C819" s="70" t="str">
        <f>"PXIe-7820R/DIO" &amp; D819</f>
        <v>PXIe-7820R/DIO111</v>
      </c>
      <c r="D819" s="30">
        <f t="shared" si="230"/>
        <v>111</v>
      </c>
      <c r="E819" s="30" t="str">
        <f t="shared" si="231"/>
        <v>FPGA DI (PWM Meas.)</v>
      </c>
      <c r="F819" s="30" t="str">
        <f t="shared" si="231"/>
        <v>PWM_TIMEOUT</v>
      </c>
      <c r="G819" s="30" t="str">
        <f t="shared" si="225"/>
        <v>ATE/IO144/PWM_TIMEOUT</v>
      </c>
      <c r="H819" s="40" t="str">
        <f>Paths!$B$5 &amp; I819 &amp; Paths!$B$11</f>
        <v>Targets/Controller/Custom Devices/FPGA Addon/Scalars/Scalar Outputs/PWM.Set.IO144/TIMEOUT</v>
      </c>
      <c r="I819" s="33" t="str">
        <f>I816</f>
        <v>IO144</v>
      </c>
      <c r="J819" s="104"/>
      <c r="K819" s="104"/>
      <c r="L819" s="107"/>
      <c r="M819" s="92"/>
      <c r="N819" s="95"/>
    </row>
    <row r="820" spans="1:14" x14ac:dyDescent="0.45">
      <c r="A820" s="98"/>
      <c r="B820" s="101"/>
      <c r="C820" s="70" t="str">
        <f>"SLSC-12202-2/P" &amp; ROUNDDOWN(D820/8,0) &amp; "." &amp; MOD(D820,8)</f>
        <v>SLSC-12202-2/P1.7</v>
      </c>
      <c r="D820" s="30">
        <f t="shared" si="230"/>
        <v>15</v>
      </c>
      <c r="E820" s="30" t="str">
        <f t="shared" si="231"/>
        <v>Input</v>
      </c>
      <c r="F820" s="30" t="str">
        <f t="shared" si="231"/>
        <v>None</v>
      </c>
      <c r="G820" s="30" t="str">
        <f t="shared" si="225"/>
        <v>None</v>
      </c>
      <c r="H820" s="36" t="str">
        <f>Paths!$B$18 &amp; "port" &amp; ROUNDDOWN(D820/8,0) &amp; "//line" &amp;MOD(D820,8) &amp;"/Properties/NI.Line.Direction"</f>
        <v>Targets/Controller/Hardware/SLSC/SLSC Chassis/Modules/Slot 7 (SLSC EDS)/Physical Channels/port1//line7/Properties/NI.Line.Direction</v>
      </c>
      <c r="I820" s="33" t="str">
        <f>I816</f>
        <v>IO144</v>
      </c>
      <c r="J820" s="104"/>
      <c r="K820" s="104"/>
      <c r="L820" s="107"/>
      <c r="M820" s="92"/>
      <c r="N820" s="95"/>
    </row>
    <row r="821" spans="1:14" x14ac:dyDescent="0.45">
      <c r="A821" s="98"/>
      <c r="B821" s="101"/>
      <c r="C821" s="70" t="str">
        <f>"PXIe-6375/AI" &amp; D821</f>
        <v>PXIe-6375/AI167</v>
      </c>
      <c r="D821" s="30">
        <f t="shared" si="230"/>
        <v>167</v>
      </c>
      <c r="E821" s="56" t="str">
        <f t="shared" si="231"/>
        <v>Scaled current 0-8 A</v>
      </c>
      <c r="F821" s="30" t="str">
        <f t="shared" si="231"/>
        <v>TBD</v>
      </c>
      <c r="G821" s="30" t="str">
        <f t="shared" si="225"/>
        <v>None</v>
      </c>
      <c r="H821" s="41" t="str">
        <f>Paths!$B$27 &amp; I821 &amp; Paths!$B$29</f>
        <v>Targets/Controller/Calculated Channels/ATE/IO144/AI</v>
      </c>
      <c r="I821" s="33" t="str">
        <f>I816</f>
        <v>IO144</v>
      </c>
      <c r="J821" s="104"/>
      <c r="K821" s="104"/>
      <c r="L821" s="107"/>
      <c r="M821" s="92"/>
      <c r="N821" s="95"/>
    </row>
    <row r="822" spans="1:14" ht="14.65" thickBot="1" x14ac:dyDescent="0.5">
      <c r="A822" s="99"/>
      <c r="B822" s="102"/>
      <c r="C822" s="71" t="str">
        <f>"SLSC-12251-3/Ch" &amp; D822 &amp; "_DUT"</f>
        <v>SLSC-12251-3/Ch15_DUT</v>
      </c>
      <c r="D822" s="31">
        <f t="shared" si="230"/>
        <v>15</v>
      </c>
      <c r="E822" s="31" t="str">
        <f t="shared" si="231"/>
        <v>FIU</v>
      </c>
      <c r="F822" s="31" t="str">
        <f t="shared" si="231"/>
        <v>TBD</v>
      </c>
      <c r="G822" s="31" t="str">
        <f t="shared" si="225"/>
        <v>None</v>
      </c>
      <c r="H822" s="42" t="str">
        <f>Paths!$B$15 &amp; D822</f>
        <v>Targets/Controller/Hardware/SLSC/SLSC Chassis/Modules/Slot 3 (SLSC EDS :: SLSC-12251)/Physical Channels/Channel_15</v>
      </c>
      <c r="I822" s="59" t="str">
        <f>I816</f>
        <v>IO144</v>
      </c>
      <c r="J822" s="105"/>
      <c r="K822" s="105"/>
      <c r="L822" s="108"/>
      <c r="M822" s="93"/>
      <c r="N822" s="96"/>
    </row>
    <row r="823" spans="1:14" ht="15" customHeight="1" x14ac:dyDescent="0.45">
      <c r="A823" s="97">
        <f>A816+1</f>
        <v>145</v>
      </c>
      <c r="B823" s="100" t="str">
        <f>B816</f>
        <v>HIGH LOAD
DI: 0-60 V
AI: 0-60 V
EXT LOAD</v>
      </c>
      <c r="C823" s="69" t="str">
        <f>"PXIe-7820R/DIO" &amp; D823</f>
        <v>PXIe-7820R/DIO112</v>
      </c>
      <c r="D823" s="29">
        <f t="shared" si="230"/>
        <v>112</v>
      </c>
      <c r="E823" s="55" t="str">
        <f t="shared" si="231"/>
        <v>FPGA DI (PWM Meas.)</v>
      </c>
      <c r="F823" s="55" t="str">
        <f t="shared" si="231"/>
        <v>PWM_FR</v>
      </c>
      <c r="G823" s="29" t="str">
        <f t="shared" si="225"/>
        <v>ATE/IO145/PWM_FR</v>
      </c>
      <c r="H823" s="39" t="str">
        <f>Paths!$B$4 &amp; I823 &amp; Paths!$B$9</f>
        <v>Targets/Controller/Custom Devices/FPGA Addon/Scalars/Scalar Inputs/PWM.In.IO145/FREQ</v>
      </c>
      <c r="I823" s="32" t="str">
        <f>"IO" &amp; A823</f>
        <v>IO145</v>
      </c>
      <c r="J823" s="103" t="s">
        <v>6</v>
      </c>
      <c r="K823" s="103" t="s">
        <v>7</v>
      </c>
      <c r="L823" s="106"/>
      <c r="M823" s="91"/>
      <c r="N823" s="94"/>
    </row>
    <row r="824" spans="1:14" x14ac:dyDescent="0.45">
      <c r="A824" s="98"/>
      <c r="B824" s="101"/>
      <c r="C824" s="70" t="str">
        <f>"PXIe-7820R/DIO" &amp; D824</f>
        <v>PXIe-7820R/DIO112</v>
      </c>
      <c r="D824" s="30">
        <f t="shared" si="230"/>
        <v>112</v>
      </c>
      <c r="E824" s="30" t="str">
        <f t="shared" si="231"/>
        <v>FPGA DI (PWM Meas.)</v>
      </c>
      <c r="F824" s="30" t="str">
        <f t="shared" si="231"/>
        <v>PWM_DC</v>
      </c>
      <c r="G824" s="30" t="str">
        <f t="shared" si="225"/>
        <v>ATE/IO145/PWM_DC</v>
      </c>
      <c r="H824" s="40" t="str">
        <f>Paths!$B$4 &amp; I824 &amp; Paths!$B$10</f>
        <v>Targets/Controller/Custom Devices/FPGA Addon/Scalars/Scalar Inputs/PWM.In.IO145/DC</v>
      </c>
      <c r="I824" s="33" t="str">
        <f>I823</f>
        <v>IO145</v>
      </c>
      <c r="J824" s="104"/>
      <c r="K824" s="104"/>
      <c r="L824" s="107"/>
      <c r="M824" s="92"/>
      <c r="N824" s="95"/>
    </row>
    <row r="825" spans="1:14" x14ac:dyDescent="0.45">
      <c r="A825" s="98"/>
      <c r="B825" s="101"/>
      <c r="C825" s="70" t="str">
        <f>"PXIe-7820R/DIO" &amp; D825</f>
        <v>PXIe-7820R/DIO112</v>
      </c>
      <c r="D825" s="30">
        <f t="shared" si="230"/>
        <v>112</v>
      </c>
      <c r="E825" s="30" t="str">
        <f t="shared" si="231"/>
        <v>PFGA DI (DI State)</v>
      </c>
      <c r="F825" s="30" t="str">
        <f t="shared" si="231"/>
        <v>DI</v>
      </c>
      <c r="G825" s="30" t="str">
        <f t="shared" si="225"/>
        <v>ATE/IO145/DI</v>
      </c>
      <c r="H825" s="90" t="str">
        <f>Paths!$B$3 &amp; I825 &amp; Paths!$B$8</f>
        <v>Targets/Controller/Custom Devices/FPGA Addon/Scalars/Scalar Inputs/DI.IO145/STATE</v>
      </c>
      <c r="I825" s="33" t="str">
        <f>I824</f>
        <v>IO145</v>
      </c>
      <c r="J825" s="104"/>
      <c r="K825" s="104"/>
      <c r="L825" s="107"/>
      <c r="M825" s="92"/>
      <c r="N825" s="95"/>
    </row>
    <row r="826" spans="1:14" x14ac:dyDescent="0.45">
      <c r="A826" s="98"/>
      <c r="B826" s="101"/>
      <c r="C826" s="70" t="str">
        <f>"PXIe-7820R/DIO" &amp; D826</f>
        <v>PXIe-7820R/DIO112</v>
      </c>
      <c r="D826" s="30">
        <f t="shared" si="230"/>
        <v>112</v>
      </c>
      <c r="E826" s="30" t="str">
        <f t="shared" si="231"/>
        <v>FPGA DI (PWM Meas.)</v>
      </c>
      <c r="F826" s="30" t="str">
        <f t="shared" si="231"/>
        <v>PWM_TIMEOUT</v>
      </c>
      <c r="G826" s="30" t="str">
        <f t="shared" si="225"/>
        <v>ATE/IO145/PWM_TIMEOUT</v>
      </c>
      <c r="H826" s="40" t="str">
        <f>Paths!$B$5 &amp; I826 &amp; Paths!$B$11</f>
        <v>Targets/Controller/Custom Devices/FPGA Addon/Scalars/Scalar Outputs/PWM.Set.IO145/TIMEOUT</v>
      </c>
      <c r="I826" s="33" t="str">
        <f>I823</f>
        <v>IO145</v>
      </c>
      <c r="J826" s="104"/>
      <c r="K826" s="104"/>
      <c r="L826" s="107"/>
      <c r="M826" s="92"/>
      <c r="N826" s="95"/>
    </row>
    <row r="827" spans="1:14" x14ac:dyDescent="0.45">
      <c r="A827" s="98"/>
      <c r="B827" s="101"/>
      <c r="C827" s="70" t="str">
        <f>"SLSC-12202-2/P" &amp; ROUNDDOWN(D827/8,0) &amp; "." &amp; MOD(D827,8)</f>
        <v>SLSC-12202-2/P2.0</v>
      </c>
      <c r="D827" s="30">
        <f t="shared" ref="D827" si="232">D820+1</f>
        <v>16</v>
      </c>
      <c r="E827" s="30" t="str">
        <f t="shared" si="231"/>
        <v>Input</v>
      </c>
      <c r="F827" s="30" t="str">
        <f t="shared" si="231"/>
        <v>None</v>
      </c>
      <c r="G827" s="30" t="str">
        <f t="shared" si="225"/>
        <v>None</v>
      </c>
      <c r="H827" s="36" t="str">
        <f>Paths!$B$18 &amp; "port" &amp; ROUNDDOWN(D827/8,0) &amp; "//line" &amp;MOD(D827,8) &amp;"/Properties/NI.Line.Direction"</f>
        <v>Targets/Controller/Hardware/SLSC/SLSC Chassis/Modules/Slot 7 (SLSC EDS)/Physical Channels/port2//line0/Properties/NI.Line.Direction</v>
      </c>
      <c r="I827" s="33" t="str">
        <f>I823</f>
        <v>IO145</v>
      </c>
      <c r="J827" s="104"/>
      <c r="K827" s="104"/>
      <c r="L827" s="107"/>
      <c r="M827" s="92"/>
      <c r="N827" s="95"/>
    </row>
    <row r="828" spans="1:14" x14ac:dyDescent="0.45">
      <c r="A828" s="98"/>
      <c r="B828" s="101"/>
      <c r="C828" s="70" t="str">
        <f>"PXIe-6375/AI" &amp; D828</f>
        <v>PXIe-6375/AI176</v>
      </c>
      <c r="D828" s="45">
        <v>176</v>
      </c>
      <c r="E828" s="56" t="str">
        <f t="shared" si="231"/>
        <v>Scaled current 0-8 A</v>
      </c>
      <c r="F828" s="30" t="str">
        <f t="shared" si="231"/>
        <v>TBD</v>
      </c>
      <c r="G828" s="30" t="str">
        <f t="shared" si="225"/>
        <v>None</v>
      </c>
      <c r="H828" s="41" t="str">
        <f>Paths!$B$27 &amp; I828 &amp; Paths!$B$29</f>
        <v>Targets/Controller/Calculated Channels/ATE/IO145/AI</v>
      </c>
      <c r="I828" s="33" t="str">
        <f>I823</f>
        <v>IO145</v>
      </c>
      <c r="J828" s="104"/>
      <c r="K828" s="104"/>
      <c r="L828" s="107"/>
      <c r="M828" s="92"/>
      <c r="N828" s="95"/>
    </row>
    <row r="829" spans="1:14" ht="14.65" thickBot="1" x14ac:dyDescent="0.5">
      <c r="A829" s="99"/>
      <c r="B829" s="102"/>
      <c r="C829" s="71" t="str">
        <f>"SLSC-12251-4/Ch" &amp; D829 &amp; "_DUT"</f>
        <v>SLSC-12251-4/Ch0_DUT</v>
      </c>
      <c r="D829" s="46">
        <v>0</v>
      </c>
      <c r="E829" s="31" t="str">
        <f t="shared" si="231"/>
        <v>FIU</v>
      </c>
      <c r="F829" s="31" t="str">
        <f t="shared" si="231"/>
        <v>TBD</v>
      </c>
      <c r="G829" s="31" t="str">
        <f t="shared" si="225"/>
        <v>None</v>
      </c>
      <c r="H829" s="42" t="str">
        <f>Paths!$B$16 &amp; D829</f>
        <v>Targets/Controller/Hardware/SLSC/SLSC Chassis/Modules/Slot 4 (SLSC EDS :: SLSC-12251)/Physical Channels/Channel_0</v>
      </c>
      <c r="I829" s="59" t="str">
        <f>I823</f>
        <v>IO145</v>
      </c>
      <c r="J829" s="105"/>
      <c r="K829" s="105"/>
      <c r="L829" s="108"/>
      <c r="M829" s="93"/>
      <c r="N829" s="96"/>
    </row>
    <row r="830" spans="1:14" ht="15" customHeight="1" x14ac:dyDescent="0.45">
      <c r="A830" s="97">
        <f>A823+1</f>
        <v>146</v>
      </c>
      <c r="B830" s="100" t="str">
        <f>B823</f>
        <v>HIGH LOAD
DI: 0-60 V
AI: 0-60 V
EXT LOAD</v>
      </c>
      <c r="C830" s="69" t="str">
        <f>"PXIe-7820R/DIO" &amp; D830</f>
        <v>PXIe-7820R/DIO113</v>
      </c>
      <c r="D830" s="29">
        <f t="shared" ref="D830:D861" si="233">D823+1</f>
        <v>113</v>
      </c>
      <c r="E830" s="55" t="str">
        <f t="shared" si="231"/>
        <v>FPGA DI (PWM Meas.)</v>
      </c>
      <c r="F830" s="55" t="str">
        <f t="shared" si="231"/>
        <v>PWM_FR</v>
      </c>
      <c r="G830" s="29" t="str">
        <f t="shared" si="225"/>
        <v>ATE/IO146/PWM_FR</v>
      </c>
      <c r="H830" s="39" t="str">
        <f>Paths!$B$4 &amp; I830 &amp; Paths!$B$9</f>
        <v>Targets/Controller/Custom Devices/FPGA Addon/Scalars/Scalar Inputs/PWM.In.IO146/FREQ</v>
      </c>
      <c r="I830" s="32" t="str">
        <f>"IO" &amp; A830</f>
        <v>IO146</v>
      </c>
      <c r="J830" s="103" t="s">
        <v>6</v>
      </c>
      <c r="K830" s="103" t="s">
        <v>7</v>
      </c>
      <c r="L830" s="106"/>
      <c r="M830" s="91"/>
      <c r="N830" s="94"/>
    </row>
    <row r="831" spans="1:14" x14ac:dyDescent="0.45">
      <c r="A831" s="98"/>
      <c r="B831" s="101"/>
      <c r="C831" s="70" t="str">
        <f>"PXIe-7820R/DIO" &amp; D831</f>
        <v>PXIe-7820R/DIO113</v>
      </c>
      <c r="D831" s="30">
        <f t="shared" si="233"/>
        <v>113</v>
      </c>
      <c r="E831" s="30" t="str">
        <f t="shared" si="231"/>
        <v>FPGA DI (PWM Meas.)</v>
      </c>
      <c r="F831" s="30" t="str">
        <f t="shared" si="231"/>
        <v>PWM_DC</v>
      </c>
      <c r="G831" s="30" t="str">
        <f t="shared" si="225"/>
        <v>ATE/IO146/PWM_DC</v>
      </c>
      <c r="H831" s="40" t="str">
        <f>Paths!$B$4 &amp; I831 &amp; Paths!$B$10</f>
        <v>Targets/Controller/Custom Devices/FPGA Addon/Scalars/Scalar Inputs/PWM.In.IO146/DC</v>
      </c>
      <c r="I831" s="33" t="str">
        <f>I830</f>
        <v>IO146</v>
      </c>
      <c r="J831" s="104"/>
      <c r="K831" s="104"/>
      <c r="L831" s="107"/>
      <c r="M831" s="92"/>
      <c r="N831" s="95"/>
    </row>
    <row r="832" spans="1:14" x14ac:dyDescent="0.45">
      <c r="A832" s="98"/>
      <c r="B832" s="101"/>
      <c r="C832" s="70" t="str">
        <f>"PXIe-7820R/DIO" &amp; D832</f>
        <v>PXIe-7820R/DIO113</v>
      </c>
      <c r="D832" s="30">
        <f t="shared" si="233"/>
        <v>113</v>
      </c>
      <c r="E832" s="30" t="str">
        <f t="shared" si="231"/>
        <v>PFGA DI (DI State)</v>
      </c>
      <c r="F832" s="30" t="str">
        <f t="shared" si="231"/>
        <v>DI</v>
      </c>
      <c r="G832" s="30" t="str">
        <f t="shared" si="225"/>
        <v>ATE/IO146/DI</v>
      </c>
      <c r="H832" s="90" t="str">
        <f>Paths!$B$3 &amp; I832 &amp; Paths!$B$8</f>
        <v>Targets/Controller/Custom Devices/FPGA Addon/Scalars/Scalar Inputs/DI.IO146/STATE</v>
      </c>
      <c r="I832" s="33" t="str">
        <f>I831</f>
        <v>IO146</v>
      </c>
      <c r="J832" s="104"/>
      <c r="K832" s="104"/>
      <c r="L832" s="107"/>
      <c r="M832" s="92"/>
      <c r="N832" s="95"/>
    </row>
    <row r="833" spans="1:14" x14ac:dyDescent="0.45">
      <c r="A833" s="98"/>
      <c r="B833" s="101"/>
      <c r="C833" s="70" t="str">
        <f>"PXIe-7820R/DIO" &amp; D833</f>
        <v>PXIe-7820R/DIO113</v>
      </c>
      <c r="D833" s="30">
        <f t="shared" si="233"/>
        <v>113</v>
      </c>
      <c r="E833" s="30" t="str">
        <f t="shared" si="231"/>
        <v>FPGA DI (PWM Meas.)</v>
      </c>
      <c r="F833" s="30" t="str">
        <f t="shared" si="231"/>
        <v>PWM_TIMEOUT</v>
      </c>
      <c r="G833" s="30" t="str">
        <f t="shared" si="225"/>
        <v>ATE/IO146/PWM_TIMEOUT</v>
      </c>
      <c r="H833" s="40" t="str">
        <f>Paths!$B$5 &amp; I833 &amp; Paths!$B$11</f>
        <v>Targets/Controller/Custom Devices/FPGA Addon/Scalars/Scalar Outputs/PWM.Set.IO146/TIMEOUT</v>
      </c>
      <c r="I833" s="33" t="str">
        <f>I830</f>
        <v>IO146</v>
      </c>
      <c r="J833" s="104"/>
      <c r="K833" s="104"/>
      <c r="L833" s="107"/>
      <c r="M833" s="92"/>
      <c r="N833" s="95"/>
    </row>
    <row r="834" spans="1:14" x14ac:dyDescent="0.45">
      <c r="A834" s="98"/>
      <c r="B834" s="101"/>
      <c r="C834" s="70" t="str">
        <f>"SLSC-12202-2/P" &amp; ROUNDDOWN(D834/8,0) &amp; "." &amp; MOD(D834,8)</f>
        <v>SLSC-12202-2/P2.1</v>
      </c>
      <c r="D834" s="30">
        <f t="shared" si="233"/>
        <v>17</v>
      </c>
      <c r="E834" s="30" t="str">
        <f t="shared" ref="E834:F853" si="234">E827</f>
        <v>Input</v>
      </c>
      <c r="F834" s="30" t="str">
        <f t="shared" si="234"/>
        <v>None</v>
      </c>
      <c r="G834" s="30" t="str">
        <f t="shared" si="225"/>
        <v>None</v>
      </c>
      <c r="H834" s="36" t="str">
        <f>Paths!$B$18 &amp; "port" &amp; ROUNDDOWN(D834/8,0) &amp; "//line" &amp;MOD(D834,8) &amp;"/Properties/NI.Line.Direction"</f>
        <v>Targets/Controller/Hardware/SLSC/SLSC Chassis/Modules/Slot 7 (SLSC EDS)/Physical Channels/port2//line1/Properties/NI.Line.Direction</v>
      </c>
      <c r="I834" s="33" t="str">
        <f>I830</f>
        <v>IO146</v>
      </c>
      <c r="J834" s="104"/>
      <c r="K834" s="104"/>
      <c r="L834" s="107"/>
      <c r="M834" s="92"/>
      <c r="N834" s="95"/>
    </row>
    <row r="835" spans="1:14" x14ac:dyDescent="0.45">
      <c r="A835" s="98"/>
      <c r="B835" s="101"/>
      <c r="C835" s="70" t="str">
        <f>"PXIe-6375/AI" &amp; D835</f>
        <v>PXIe-6375/AI177</v>
      </c>
      <c r="D835" s="30">
        <f t="shared" si="233"/>
        <v>177</v>
      </c>
      <c r="E835" s="56" t="str">
        <f t="shared" si="234"/>
        <v>Scaled current 0-8 A</v>
      </c>
      <c r="F835" s="30" t="str">
        <f t="shared" si="234"/>
        <v>TBD</v>
      </c>
      <c r="G835" s="30" t="str">
        <f t="shared" si="225"/>
        <v>None</v>
      </c>
      <c r="H835" s="41" t="str">
        <f>Paths!$B$27 &amp; I835 &amp; Paths!$B$29</f>
        <v>Targets/Controller/Calculated Channels/ATE/IO146/AI</v>
      </c>
      <c r="I835" s="33" t="str">
        <f>I830</f>
        <v>IO146</v>
      </c>
      <c r="J835" s="104"/>
      <c r="K835" s="104"/>
      <c r="L835" s="107"/>
      <c r="M835" s="92"/>
      <c r="N835" s="95"/>
    </row>
    <row r="836" spans="1:14" ht="14.65" thickBot="1" x14ac:dyDescent="0.5">
      <c r="A836" s="99"/>
      <c r="B836" s="102"/>
      <c r="C836" s="71" t="str">
        <f>"SLSC-12251-4/Ch" &amp; D836 &amp; "_DUT"</f>
        <v>SLSC-12251-4/Ch1_DUT</v>
      </c>
      <c r="D836" s="31">
        <f t="shared" si="233"/>
        <v>1</v>
      </c>
      <c r="E836" s="31" t="str">
        <f t="shared" si="234"/>
        <v>FIU</v>
      </c>
      <c r="F836" s="31" t="str">
        <f t="shared" si="234"/>
        <v>TBD</v>
      </c>
      <c r="G836" s="31" t="str">
        <f t="shared" si="225"/>
        <v>None</v>
      </c>
      <c r="H836" s="42" t="str">
        <f>Paths!$B$16 &amp; D836</f>
        <v>Targets/Controller/Hardware/SLSC/SLSC Chassis/Modules/Slot 4 (SLSC EDS :: SLSC-12251)/Physical Channels/Channel_1</v>
      </c>
      <c r="I836" s="59" t="str">
        <f>I830</f>
        <v>IO146</v>
      </c>
      <c r="J836" s="105"/>
      <c r="K836" s="105"/>
      <c r="L836" s="108"/>
      <c r="M836" s="93"/>
      <c r="N836" s="96"/>
    </row>
    <row r="837" spans="1:14" ht="15" customHeight="1" x14ac:dyDescent="0.45">
      <c r="A837" s="97">
        <f>A830+1</f>
        <v>147</v>
      </c>
      <c r="B837" s="100" t="str">
        <f>B830</f>
        <v>HIGH LOAD
DI: 0-60 V
AI: 0-60 V
EXT LOAD</v>
      </c>
      <c r="C837" s="69" t="str">
        <f>"PXIe-7820R/DIO" &amp; D837</f>
        <v>PXIe-7820R/DIO114</v>
      </c>
      <c r="D837" s="29">
        <f t="shared" si="233"/>
        <v>114</v>
      </c>
      <c r="E837" s="55" t="str">
        <f t="shared" si="234"/>
        <v>FPGA DI (PWM Meas.)</v>
      </c>
      <c r="F837" s="55" t="str">
        <f t="shared" si="234"/>
        <v>PWM_FR</v>
      </c>
      <c r="G837" s="29" t="str">
        <f t="shared" si="225"/>
        <v>ATE/IO147/PWM_FR</v>
      </c>
      <c r="H837" s="39" t="str">
        <f>Paths!$B$4 &amp; I837 &amp; Paths!$B$9</f>
        <v>Targets/Controller/Custom Devices/FPGA Addon/Scalars/Scalar Inputs/PWM.In.IO147/FREQ</v>
      </c>
      <c r="I837" s="32" t="str">
        <f>"IO" &amp; A837</f>
        <v>IO147</v>
      </c>
      <c r="J837" s="103" t="s">
        <v>6</v>
      </c>
      <c r="K837" s="103" t="s">
        <v>7</v>
      </c>
      <c r="L837" s="106"/>
      <c r="M837" s="91"/>
      <c r="N837" s="94"/>
    </row>
    <row r="838" spans="1:14" x14ac:dyDescent="0.45">
      <c r="A838" s="98"/>
      <c r="B838" s="101"/>
      <c r="C838" s="70" t="str">
        <f>"PXIe-7820R/DIO" &amp; D838</f>
        <v>PXIe-7820R/DIO114</v>
      </c>
      <c r="D838" s="30">
        <f t="shared" si="233"/>
        <v>114</v>
      </c>
      <c r="E838" s="30" t="str">
        <f t="shared" si="234"/>
        <v>FPGA DI (PWM Meas.)</v>
      </c>
      <c r="F838" s="30" t="str">
        <f t="shared" si="234"/>
        <v>PWM_DC</v>
      </c>
      <c r="G838" s="30" t="str">
        <f t="shared" si="225"/>
        <v>ATE/IO147/PWM_DC</v>
      </c>
      <c r="H838" s="40" t="str">
        <f>Paths!$B$4 &amp; I838 &amp; Paths!$B$10</f>
        <v>Targets/Controller/Custom Devices/FPGA Addon/Scalars/Scalar Inputs/PWM.In.IO147/DC</v>
      </c>
      <c r="I838" s="33" t="str">
        <f>I837</f>
        <v>IO147</v>
      </c>
      <c r="J838" s="104"/>
      <c r="K838" s="104"/>
      <c r="L838" s="107"/>
      <c r="M838" s="92"/>
      <c r="N838" s="95"/>
    </row>
    <row r="839" spans="1:14" x14ac:dyDescent="0.45">
      <c r="A839" s="98"/>
      <c r="B839" s="101"/>
      <c r="C839" s="70" t="str">
        <f>"PXIe-7820R/DIO" &amp; D839</f>
        <v>PXIe-7820R/DIO114</v>
      </c>
      <c r="D839" s="30">
        <f t="shared" si="233"/>
        <v>114</v>
      </c>
      <c r="E839" s="30" t="str">
        <f t="shared" si="234"/>
        <v>PFGA DI (DI State)</v>
      </c>
      <c r="F839" s="30" t="str">
        <f t="shared" si="234"/>
        <v>DI</v>
      </c>
      <c r="G839" s="30" t="str">
        <f t="shared" si="225"/>
        <v>ATE/IO147/DI</v>
      </c>
      <c r="H839" s="90" t="str">
        <f>Paths!$B$3 &amp; I839 &amp; Paths!$B$8</f>
        <v>Targets/Controller/Custom Devices/FPGA Addon/Scalars/Scalar Inputs/DI.IO147/STATE</v>
      </c>
      <c r="I839" s="33" t="str">
        <f>I838</f>
        <v>IO147</v>
      </c>
      <c r="J839" s="104"/>
      <c r="K839" s="104"/>
      <c r="L839" s="107"/>
      <c r="M839" s="92"/>
      <c r="N839" s="95"/>
    </row>
    <row r="840" spans="1:14" x14ac:dyDescent="0.45">
      <c r="A840" s="98"/>
      <c r="B840" s="101"/>
      <c r="C840" s="70" t="str">
        <f>"PXIe-7820R/DIO" &amp; D840</f>
        <v>PXIe-7820R/DIO114</v>
      </c>
      <c r="D840" s="30">
        <f t="shared" si="233"/>
        <v>114</v>
      </c>
      <c r="E840" s="30" t="str">
        <f t="shared" si="234"/>
        <v>FPGA DI (PWM Meas.)</v>
      </c>
      <c r="F840" s="30" t="str">
        <f t="shared" si="234"/>
        <v>PWM_TIMEOUT</v>
      </c>
      <c r="G840" s="30" t="str">
        <f t="shared" si="225"/>
        <v>ATE/IO147/PWM_TIMEOUT</v>
      </c>
      <c r="H840" s="40" t="str">
        <f>Paths!$B$5 &amp; I840 &amp; Paths!$B$11</f>
        <v>Targets/Controller/Custom Devices/FPGA Addon/Scalars/Scalar Outputs/PWM.Set.IO147/TIMEOUT</v>
      </c>
      <c r="I840" s="33" t="str">
        <f>I837</f>
        <v>IO147</v>
      </c>
      <c r="J840" s="104"/>
      <c r="K840" s="104"/>
      <c r="L840" s="107"/>
      <c r="M840" s="92"/>
      <c r="N840" s="95"/>
    </row>
    <row r="841" spans="1:14" x14ac:dyDescent="0.45">
      <c r="A841" s="98"/>
      <c r="B841" s="101"/>
      <c r="C841" s="70" t="str">
        <f>"SLSC-12202-2/P" &amp; ROUNDDOWN(D841/8,0) &amp; "." &amp; MOD(D841,8)</f>
        <v>SLSC-12202-2/P2.2</v>
      </c>
      <c r="D841" s="30">
        <f t="shared" si="233"/>
        <v>18</v>
      </c>
      <c r="E841" s="30" t="str">
        <f t="shared" si="234"/>
        <v>Input</v>
      </c>
      <c r="F841" s="30" t="str">
        <f t="shared" si="234"/>
        <v>None</v>
      </c>
      <c r="G841" s="30" t="str">
        <f t="shared" si="225"/>
        <v>None</v>
      </c>
      <c r="H841" s="36" t="str">
        <f>Paths!$B$18 &amp; "port" &amp; ROUNDDOWN(D841/8,0) &amp; "//line" &amp;MOD(D841,8) &amp;"/Properties/NI.Line.Direction"</f>
        <v>Targets/Controller/Hardware/SLSC/SLSC Chassis/Modules/Slot 7 (SLSC EDS)/Physical Channels/port2//line2/Properties/NI.Line.Direction</v>
      </c>
      <c r="I841" s="33" t="str">
        <f>I837</f>
        <v>IO147</v>
      </c>
      <c r="J841" s="104"/>
      <c r="K841" s="104"/>
      <c r="L841" s="107"/>
      <c r="M841" s="92"/>
      <c r="N841" s="95"/>
    </row>
    <row r="842" spans="1:14" x14ac:dyDescent="0.45">
      <c r="A842" s="98"/>
      <c r="B842" s="101"/>
      <c r="C842" s="70" t="str">
        <f>"PXIe-6375/AI" &amp; D842</f>
        <v>PXIe-6375/AI178</v>
      </c>
      <c r="D842" s="30">
        <f t="shared" si="233"/>
        <v>178</v>
      </c>
      <c r="E842" s="56" t="str">
        <f t="shared" si="234"/>
        <v>Scaled current 0-8 A</v>
      </c>
      <c r="F842" s="30" t="str">
        <f t="shared" si="234"/>
        <v>TBD</v>
      </c>
      <c r="G842" s="30" t="str">
        <f t="shared" si="225"/>
        <v>None</v>
      </c>
      <c r="H842" s="41" t="str">
        <f>Paths!$B$27 &amp; I842 &amp; Paths!$B$29</f>
        <v>Targets/Controller/Calculated Channels/ATE/IO147/AI</v>
      </c>
      <c r="I842" s="33" t="str">
        <f>I837</f>
        <v>IO147</v>
      </c>
      <c r="J842" s="104"/>
      <c r="K842" s="104"/>
      <c r="L842" s="107"/>
      <c r="M842" s="92"/>
      <c r="N842" s="95"/>
    </row>
    <row r="843" spans="1:14" ht="14.65" thickBot="1" x14ac:dyDescent="0.5">
      <c r="A843" s="99"/>
      <c r="B843" s="102"/>
      <c r="C843" s="71" t="str">
        <f>"SLSC-12251-4/Ch" &amp; D843 &amp; "_DUT"</f>
        <v>SLSC-12251-4/Ch2_DUT</v>
      </c>
      <c r="D843" s="31">
        <f t="shared" si="233"/>
        <v>2</v>
      </c>
      <c r="E843" s="31" t="str">
        <f t="shared" si="234"/>
        <v>FIU</v>
      </c>
      <c r="F843" s="31" t="str">
        <f t="shared" si="234"/>
        <v>TBD</v>
      </c>
      <c r="G843" s="31" t="str">
        <f t="shared" si="225"/>
        <v>None</v>
      </c>
      <c r="H843" s="42" t="str">
        <f>Paths!$B$16 &amp; D843</f>
        <v>Targets/Controller/Hardware/SLSC/SLSC Chassis/Modules/Slot 4 (SLSC EDS :: SLSC-12251)/Physical Channels/Channel_2</v>
      </c>
      <c r="I843" s="59" t="str">
        <f>I837</f>
        <v>IO147</v>
      </c>
      <c r="J843" s="105"/>
      <c r="K843" s="105"/>
      <c r="L843" s="108"/>
      <c r="M843" s="93"/>
      <c r="N843" s="96"/>
    </row>
    <row r="844" spans="1:14" ht="15" customHeight="1" x14ac:dyDescent="0.45">
      <c r="A844" s="97">
        <f>A837+1</f>
        <v>148</v>
      </c>
      <c r="B844" s="100" t="str">
        <f>B837</f>
        <v>HIGH LOAD
DI: 0-60 V
AI: 0-60 V
EXT LOAD</v>
      </c>
      <c r="C844" s="69" t="str">
        <f>"PXIe-7820R/DIO" &amp; D844</f>
        <v>PXIe-7820R/DIO115</v>
      </c>
      <c r="D844" s="29">
        <f t="shared" si="233"/>
        <v>115</v>
      </c>
      <c r="E844" s="55" t="str">
        <f t="shared" si="234"/>
        <v>FPGA DI (PWM Meas.)</v>
      </c>
      <c r="F844" s="55" t="str">
        <f t="shared" si="234"/>
        <v>PWM_FR</v>
      </c>
      <c r="G844" s="29" t="str">
        <f t="shared" si="225"/>
        <v>ATE/IO148/PWM_FR</v>
      </c>
      <c r="H844" s="39" t="str">
        <f>Paths!$B$4 &amp; I844 &amp; Paths!$B$9</f>
        <v>Targets/Controller/Custom Devices/FPGA Addon/Scalars/Scalar Inputs/PWM.In.IO148/FREQ</v>
      </c>
      <c r="I844" s="32" t="str">
        <f>"IO" &amp; A844</f>
        <v>IO148</v>
      </c>
      <c r="J844" s="103" t="s">
        <v>6</v>
      </c>
      <c r="K844" s="103" t="s">
        <v>7</v>
      </c>
      <c r="L844" s="106"/>
      <c r="M844" s="91"/>
      <c r="N844" s="94"/>
    </row>
    <row r="845" spans="1:14" x14ac:dyDescent="0.45">
      <c r="A845" s="98"/>
      <c r="B845" s="101"/>
      <c r="C845" s="70" t="str">
        <f>"PXIe-7820R/DIO" &amp; D845</f>
        <v>PXIe-7820R/DIO115</v>
      </c>
      <c r="D845" s="30">
        <f t="shared" si="233"/>
        <v>115</v>
      </c>
      <c r="E845" s="30" t="str">
        <f t="shared" si="234"/>
        <v>FPGA DI (PWM Meas.)</v>
      </c>
      <c r="F845" s="30" t="str">
        <f t="shared" si="234"/>
        <v>PWM_DC</v>
      </c>
      <c r="G845" s="30" t="str">
        <f t="shared" ref="G845:G934" si="235">IF(OR(F845="None",F845="TBD"),"None",_xlfn.CONCAT("ATE/",I845,"/",F845))</f>
        <v>ATE/IO148/PWM_DC</v>
      </c>
      <c r="H845" s="40" t="str">
        <f>Paths!$B$4 &amp; I845 &amp; Paths!$B$10</f>
        <v>Targets/Controller/Custom Devices/FPGA Addon/Scalars/Scalar Inputs/PWM.In.IO148/DC</v>
      </c>
      <c r="I845" s="33" t="str">
        <f>I844</f>
        <v>IO148</v>
      </c>
      <c r="J845" s="104"/>
      <c r="K845" s="104"/>
      <c r="L845" s="107"/>
      <c r="M845" s="92"/>
      <c r="N845" s="95"/>
    </row>
    <row r="846" spans="1:14" x14ac:dyDescent="0.45">
      <c r="A846" s="98"/>
      <c r="B846" s="101"/>
      <c r="C846" s="70" t="str">
        <f>"PXIe-7820R/DIO" &amp; D846</f>
        <v>PXIe-7820R/DIO115</v>
      </c>
      <c r="D846" s="30">
        <f t="shared" si="233"/>
        <v>115</v>
      </c>
      <c r="E846" s="30" t="str">
        <f t="shared" si="234"/>
        <v>PFGA DI (DI State)</v>
      </c>
      <c r="F846" s="30" t="str">
        <f t="shared" si="234"/>
        <v>DI</v>
      </c>
      <c r="G846" s="30" t="str">
        <f t="shared" si="235"/>
        <v>ATE/IO148/DI</v>
      </c>
      <c r="H846" s="90" t="str">
        <f>Paths!$B$3 &amp; I846 &amp; Paths!$B$8</f>
        <v>Targets/Controller/Custom Devices/FPGA Addon/Scalars/Scalar Inputs/DI.IO148/STATE</v>
      </c>
      <c r="I846" s="33" t="str">
        <f>I845</f>
        <v>IO148</v>
      </c>
      <c r="J846" s="104"/>
      <c r="K846" s="104"/>
      <c r="L846" s="107"/>
      <c r="M846" s="92"/>
      <c r="N846" s="95"/>
    </row>
    <row r="847" spans="1:14" x14ac:dyDescent="0.45">
      <c r="A847" s="98"/>
      <c r="B847" s="101"/>
      <c r="C847" s="70" t="str">
        <f>"PXIe-7820R/DIO" &amp; D847</f>
        <v>PXIe-7820R/DIO115</v>
      </c>
      <c r="D847" s="30">
        <f t="shared" si="233"/>
        <v>115</v>
      </c>
      <c r="E847" s="30" t="str">
        <f t="shared" si="234"/>
        <v>FPGA DI (PWM Meas.)</v>
      </c>
      <c r="F847" s="30" t="str">
        <f t="shared" si="234"/>
        <v>PWM_TIMEOUT</v>
      </c>
      <c r="G847" s="30" t="str">
        <f t="shared" si="235"/>
        <v>ATE/IO148/PWM_TIMEOUT</v>
      </c>
      <c r="H847" s="40" t="str">
        <f>Paths!$B$5 &amp; I847 &amp; Paths!$B$11</f>
        <v>Targets/Controller/Custom Devices/FPGA Addon/Scalars/Scalar Outputs/PWM.Set.IO148/TIMEOUT</v>
      </c>
      <c r="I847" s="33" t="str">
        <f>I844</f>
        <v>IO148</v>
      </c>
      <c r="J847" s="104"/>
      <c r="K847" s="104"/>
      <c r="L847" s="107"/>
      <c r="M847" s="92"/>
      <c r="N847" s="95"/>
    </row>
    <row r="848" spans="1:14" x14ac:dyDescent="0.45">
      <c r="A848" s="98"/>
      <c r="B848" s="101"/>
      <c r="C848" s="70" t="str">
        <f>"SLSC-12202-2/P" &amp; ROUNDDOWN(D848/8,0) &amp; "." &amp; MOD(D848,8)</f>
        <v>SLSC-12202-2/P2.3</v>
      </c>
      <c r="D848" s="30">
        <f t="shared" si="233"/>
        <v>19</v>
      </c>
      <c r="E848" s="30" t="str">
        <f t="shared" si="234"/>
        <v>Input</v>
      </c>
      <c r="F848" s="30" t="str">
        <f t="shared" si="234"/>
        <v>None</v>
      </c>
      <c r="G848" s="30" t="str">
        <f t="shared" si="235"/>
        <v>None</v>
      </c>
      <c r="H848" s="36" t="str">
        <f>Paths!$B$18 &amp; "port" &amp; ROUNDDOWN(D848/8,0) &amp; "//line" &amp;MOD(D848,8) &amp;"/Properties/NI.Line.Direction"</f>
        <v>Targets/Controller/Hardware/SLSC/SLSC Chassis/Modules/Slot 7 (SLSC EDS)/Physical Channels/port2//line3/Properties/NI.Line.Direction</v>
      </c>
      <c r="I848" s="33" t="str">
        <f>I844</f>
        <v>IO148</v>
      </c>
      <c r="J848" s="104"/>
      <c r="K848" s="104"/>
      <c r="L848" s="107"/>
      <c r="M848" s="92"/>
      <c r="N848" s="95"/>
    </row>
    <row r="849" spans="1:14" x14ac:dyDescent="0.45">
      <c r="A849" s="98"/>
      <c r="B849" s="101"/>
      <c r="C849" s="70" t="str">
        <f>"PXIe-6375/AI" &amp; D849</f>
        <v>PXIe-6375/AI179</v>
      </c>
      <c r="D849" s="30">
        <f t="shared" si="233"/>
        <v>179</v>
      </c>
      <c r="E849" s="56" t="str">
        <f t="shared" si="234"/>
        <v>Scaled current 0-8 A</v>
      </c>
      <c r="F849" s="30" t="str">
        <f t="shared" si="234"/>
        <v>TBD</v>
      </c>
      <c r="G849" s="30" t="str">
        <f t="shared" si="235"/>
        <v>None</v>
      </c>
      <c r="H849" s="41" t="str">
        <f>Paths!$B$27 &amp; I849 &amp; Paths!$B$29</f>
        <v>Targets/Controller/Calculated Channels/ATE/IO148/AI</v>
      </c>
      <c r="I849" s="33" t="str">
        <f>I844</f>
        <v>IO148</v>
      </c>
      <c r="J849" s="104"/>
      <c r="K849" s="104"/>
      <c r="L849" s="107"/>
      <c r="M849" s="92"/>
      <c r="N849" s="95"/>
    </row>
    <row r="850" spans="1:14" ht="14.65" thickBot="1" x14ac:dyDescent="0.5">
      <c r="A850" s="99"/>
      <c r="B850" s="102"/>
      <c r="C850" s="71" t="str">
        <f>"SLSC-12251-4/Ch" &amp; D850 &amp; "_DUT"</f>
        <v>SLSC-12251-4/Ch3_DUT</v>
      </c>
      <c r="D850" s="31">
        <f t="shared" si="233"/>
        <v>3</v>
      </c>
      <c r="E850" s="31" t="str">
        <f t="shared" si="234"/>
        <v>FIU</v>
      </c>
      <c r="F850" s="31" t="str">
        <f t="shared" si="234"/>
        <v>TBD</v>
      </c>
      <c r="G850" s="31" t="str">
        <f t="shared" si="235"/>
        <v>None</v>
      </c>
      <c r="H850" s="42" t="str">
        <f>Paths!$B$16 &amp; D850</f>
        <v>Targets/Controller/Hardware/SLSC/SLSC Chassis/Modules/Slot 4 (SLSC EDS :: SLSC-12251)/Physical Channels/Channel_3</v>
      </c>
      <c r="I850" s="59" t="str">
        <f>I844</f>
        <v>IO148</v>
      </c>
      <c r="J850" s="105"/>
      <c r="K850" s="105"/>
      <c r="L850" s="108"/>
      <c r="M850" s="93"/>
      <c r="N850" s="96"/>
    </row>
    <row r="851" spans="1:14" ht="15" customHeight="1" x14ac:dyDescent="0.45">
      <c r="A851" s="97">
        <f>A844+1</f>
        <v>149</v>
      </c>
      <c r="B851" s="100" t="str">
        <f>B844</f>
        <v>HIGH LOAD
DI: 0-60 V
AI: 0-60 V
EXT LOAD</v>
      </c>
      <c r="C851" s="69" t="str">
        <f>"PXIe-7820R/DIO" &amp; D851</f>
        <v>PXIe-7820R/DIO116</v>
      </c>
      <c r="D851" s="29">
        <f t="shared" si="233"/>
        <v>116</v>
      </c>
      <c r="E851" s="55" t="str">
        <f t="shared" si="234"/>
        <v>FPGA DI (PWM Meas.)</v>
      </c>
      <c r="F851" s="55" t="str">
        <f t="shared" si="234"/>
        <v>PWM_FR</v>
      </c>
      <c r="G851" s="29" t="str">
        <f t="shared" si="235"/>
        <v>ATE/IO149/PWM_FR</v>
      </c>
      <c r="H851" s="39" t="str">
        <f>Paths!$B$4 &amp; I851 &amp; Paths!$B$9</f>
        <v>Targets/Controller/Custom Devices/FPGA Addon/Scalars/Scalar Inputs/PWM.In.IO149/FREQ</v>
      </c>
      <c r="I851" s="32" t="str">
        <f>"IO" &amp; A851</f>
        <v>IO149</v>
      </c>
      <c r="J851" s="103" t="s">
        <v>6</v>
      </c>
      <c r="K851" s="103" t="s">
        <v>7</v>
      </c>
      <c r="L851" s="106"/>
      <c r="M851" s="91"/>
      <c r="N851" s="94"/>
    </row>
    <row r="852" spans="1:14" x14ac:dyDescent="0.45">
      <c r="A852" s="98"/>
      <c r="B852" s="101"/>
      <c r="C852" s="70" t="str">
        <f>"PXIe-7820R/DIO" &amp; D852</f>
        <v>PXIe-7820R/DIO116</v>
      </c>
      <c r="D852" s="30">
        <f t="shared" si="233"/>
        <v>116</v>
      </c>
      <c r="E852" s="30" t="str">
        <f t="shared" si="234"/>
        <v>FPGA DI (PWM Meas.)</v>
      </c>
      <c r="F852" s="30" t="str">
        <f t="shared" si="234"/>
        <v>PWM_DC</v>
      </c>
      <c r="G852" s="30" t="str">
        <f t="shared" si="235"/>
        <v>ATE/IO149/PWM_DC</v>
      </c>
      <c r="H852" s="40" t="str">
        <f>Paths!$B$4 &amp; I852 &amp; Paths!$B$10</f>
        <v>Targets/Controller/Custom Devices/FPGA Addon/Scalars/Scalar Inputs/PWM.In.IO149/DC</v>
      </c>
      <c r="I852" s="33" t="str">
        <f>I851</f>
        <v>IO149</v>
      </c>
      <c r="J852" s="104"/>
      <c r="K852" s="104"/>
      <c r="L852" s="107"/>
      <c r="M852" s="92"/>
      <c r="N852" s="95"/>
    </row>
    <row r="853" spans="1:14" x14ac:dyDescent="0.45">
      <c r="A853" s="98"/>
      <c r="B853" s="101"/>
      <c r="C853" s="70" t="str">
        <f>"PXIe-7820R/DIO" &amp; D853</f>
        <v>PXIe-7820R/DIO116</v>
      </c>
      <c r="D853" s="30">
        <f t="shared" si="233"/>
        <v>116</v>
      </c>
      <c r="E853" s="30" t="str">
        <f t="shared" si="234"/>
        <v>PFGA DI (DI State)</v>
      </c>
      <c r="F853" s="30" t="str">
        <f t="shared" si="234"/>
        <v>DI</v>
      </c>
      <c r="G853" s="30" t="str">
        <f t="shared" si="235"/>
        <v>ATE/IO149/DI</v>
      </c>
      <c r="H853" s="90" t="str">
        <f>Paths!$B$3 &amp; I853 &amp; Paths!$B$8</f>
        <v>Targets/Controller/Custom Devices/FPGA Addon/Scalars/Scalar Inputs/DI.IO149/STATE</v>
      </c>
      <c r="I853" s="33" t="str">
        <f>I852</f>
        <v>IO149</v>
      </c>
      <c r="J853" s="104"/>
      <c r="K853" s="104"/>
      <c r="L853" s="107"/>
      <c r="M853" s="92"/>
      <c r="N853" s="95"/>
    </row>
    <row r="854" spans="1:14" x14ac:dyDescent="0.45">
      <c r="A854" s="98"/>
      <c r="B854" s="101"/>
      <c r="C854" s="70" t="str">
        <f>"PXIe-7820R/DIO" &amp; D854</f>
        <v>PXIe-7820R/DIO116</v>
      </c>
      <c r="D854" s="30">
        <f t="shared" si="233"/>
        <v>116</v>
      </c>
      <c r="E854" s="30" t="str">
        <f t="shared" ref="E854:F873" si="236">E847</f>
        <v>FPGA DI (PWM Meas.)</v>
      </c>
      <c r="F854" s="30" t="str">
        <f t="shared" si="236"/>
        <v>PWM_TIMEOUT</v>
      </c>
      <c r="G854" s="30" t="str">
        <f t="shared" si="235"/>
        <v>ATE/IO149/PWM_TIMEOUT</v>
      </c>
      <c r="H854" s="40" t="str">
        <f>Paths!$B$5 &amp; I854 &amp; Paths!$B$11</f>
        <v>Targets/Controller/Custom Devices/FPGA Addon/Scalars/Scalar Outputs/PWM.Set.IO149/TIMEOUT</v>
      </c>
      <c r="I854" s="33" t="str">
        <f>I851</f>
        <v>IO149</v>
      </c>
      <c r="J854" s="104"/>
      <c r="K854" s="104"/>
      <c r="L854" s="107"/>
      <c r="M854" s="92"/>
      <c r="N854" s="95"/>
    </row>
    <row r="855" spans="1:14" x14ac:dyDescent="0.45">
      <c r="A855" s="98"/>
      <c r="B855" s="101"/>
      <c r="C855" s="70" t="str">
        <f>"SLSC-12202-2/P" &amp; ROUNDDOWN(D855/8,0) &amp; "." &amp; MOD(D855,8)</f>
        <v>SLSC-12202-2/P2.4</v>
      </c>
      <c r="D855" s="30">
        <f t="shared" si="233"/>
        <v>20</v>
      </c>
      <c r="E855" s="30" t="str">
        <f t="shared" si="236"/>
        <v>Input</v>
      </c>
      <c r="F855" s="30" t="str">
        <f t="shared" si="236"/>
        <v>None</v>
      </c>
      <c r="G855" s="30" t="str">
        <f t="shared" si="235"/>
        <v>None</v>
      </c>
      <c r="H855" s="36" t="str">
        <f>Paths!$B$18 &amp; "port" &amp; ROUNDDOWN(D855/8,0) &amp; "//line" &amp;MOD(D855,8) &amp;"/Properties/NI.Line.Direction"</f>
        <v>Targets/Controller/Hardware/SLSC/SLSC Chassis/Modules/Slot 7 (SLSC EDS)/Physical Channels/port2//line4/Properties/NI.Line.Direction</v>
      </c>
      <c r="I855" s="33" t="str">
        <f>I851</f>
        <v>IO149</v>
      </c>
      <c r="J855" s="104"/>
      <c r="K855" s="104"/>
      <c r="L855" s="107"/>
      <c r="M855" s="92"/>
      <c r="N855" s="95"/>
    </row>
    <row r="856" spans="1:14" x14ac:dyDescent="0.45">
      <c r="A856" s="98"/>
      <c r="B856" s="101"/>
      <c r="C856" s="70" t="str">
        <f>"PXIe-6375/AI" &amp; D856</f>
        <v>PXIe-6375/AI180</v>
      </c>
      <c r="D856" s="30">
        <f t="shared" si="233"/>
        <v>180</v>
      </c>
      <c r="E856" s="56" t="str">
        <f t="shared" si="236"/>
        <v>Scaled current 0-8 A</v>
      </c>
      <c r="F856" s="30" t="str">
        <f t="shared" si="236"/>
        <v>TBD</v>
      </c>
      <c r="G856" s="30" t="str">
        <f t="shared" si="235"/>
        <v>None</v>
      </c>
      <c r="H856" s="41" t="str">
        <f>Paths!$B$27 &amp; I856 &amp; Paths!$B$29</f>
        <v>Targets/Controller/Calculated Channels/ATE/IO149/AI</v>
      </c>
      <c r="I856" s="33" t="str">
        <f>I851</f>
        <v>IO149</v>
      </c>
      <c r="J856" s="104"/>
      <c r="K856" s="104"/>
      <c r="L856" s="107"/>
      <c r="M856" s="92"/>
      <c r="N856" s="95"/>
    </row>
    <row r="857" spans="1:14" ht="14.65" thickBot="1" x14ac:dyDescent="0.5">
      <c r="A857" s="99"/>
      <c r="B857" s="102"/>
      <c r="C857" s="71" t="str">
        <f>"SLSC-12251-4/Ch" &amp; D857 &amp; "_DUT"</f>
        <v>SLSC-12251-4/Ch4_DUT</v>
      </c>
      <c r="D857" s="31">
        <f t="shared" si="233"/>
        <v>4</v>
      </c>
      <c r="E857" s="31" t="str">
        <f t="shared" si="236"/>
        <v>FIU</v>
      </c>
      <c r="F857" s="31" t="str">
        <f t="shared" si="236"/>
        <v>TBD</v>
      </c>
      <c r="G857" s="31" t="str">
        <f t="shared" si="235"/>
        <v>None</v>
      </c>
      <c r="H857" s="42" t="str">
        <f>Paths!$B$16 &amp; D857</f>
        <v>Targets/Controller/Hardware/SLSC/SLSC Chassis/Modules/Slot 4 (SLSC EDS :: SLSC-12251)/Physical Channels/Channel_4</v>
      </c>
      <c r="I857" s="59" t="str">
        <f>I851</f>
        <v>IO149</v>
      </c>
      <c r="J857" s="105"/>
      <c r="K857" s="105"/>
      <c r="L857" s="108"/>
      <c r="M857" s="93"/>
      <c r="N857" s="96"/>
    </row>
    <row r="858" spans="1:14" ht="15" customHeight="1" x14ac:dyDescent="0.45">
      <c r="A858" s="97">
        <f>A851+1</f>
        <v>150</v>
      </c>
      <c r="B858" s="100" t="str">
        <f>B851</f>
        <v>HIGH LOAD
DI: 0-60 V
AI: 0-60 V
EXT LOAD</v>
      </c>
      <c r="C858" s="69" t="str">
        <f>"PXIe-7820R/DIO" &amp; D858</f>
        <v>PXIe-7820R/DIO117</v>
      </c>
      <c r="D858" s="29">
        <f t="shared" si="233"/>
        <v>117</v>
      </c>
      <c r="E858" s="55" t="str">
        <f t="shared" si="236"/>
        <v>FPGA DI (PWM Meas.)</v>
      </c>
      <c r="F858" s="55" t="str">
        <f t="shared" si="236"/>
        <v>PWM_FR</v>
      </c>
      <c r="G858" s="29" t="str">
        <f t="shared" si="235"/>
        <v>ATE/IO150/PWM_FR</v>
      </c>
      <c r="H858" s="39" t="str">
        <f>Paths!$B$4 &amp; I858 &amp; Paths!$B$9</f>
        <v>Targets/Controller/Custom Devices/FPGA Addon/Scalars/Scalar Inputs/PWM.In.IO150/FREQ</v>
      </c>
      <c r="I858" s="32" t="str">
        <f>"IO" &amp; A858</f>
        <v>IO150</v>
      </c>
      <c r="J858" s="103" t="s">
        <v>6</v>
      </c>
      <c r="K858" s="103" t="s">
        <v>7</v>
      </c>
      <c r="L858" s="106"/>
      <c r="M858" s="91"/>
      <c r="N858" s="94"/>
    </row>
    <row r="859" spans="1:14" x14ac:dyDescent="0.45">
      <c r="A859" s="98"/>
      <c r="B859" s="101"/>
      <c r="C859" s="70" t="str">
        <f>"PXIe-7820R/DIO" &amp; D859</f>
        <v>PXIe-7820R/DIO117</v>
      </c>
      <c r="D859" s="30">
        <f t="shared" si="233"/>
        <v>117</v>
      </c>
      <c r="E859" s="30" t="str">
        <f t="shared" si="236"/>
        <v>FPGA DI (PWM Meas.)</v>
      </c>
      <c r="F859" s="30" t="str">
        <f t="shared" si="236"/>
        <v>PWM_DC</v>
      </c>
      <c r="G859" s="30" t="str">
        <f t="shared" si="235"/>
        <v>ATE/IO150/PWM_DC</v>
      </c>
      <c r="H859" s="40" t="str">
        <f>Paths!$B$4 &amp; I859 &amp; Paths!$B$10</f>
        <v>Targets/Controller/Custom Devices/FPGA Addon/Scalars/Scalar Inputs/PWM.In.IO150/DC</v>
      </c>
      <c r="I859" s="33" t="str">
        <f>I858</f>
        <v>IO150</v>
      </c>
      <c r="J859" s="104"/>
      <c r="K859" s="104"/>
      <c r="L859" s="107"/>
      <c r="M859" s="92"/>
      <c r="N859" s="95"/>
    </row>
    <row r="860" spans="1:14" x14ac:dyDescent="0.45">
      <c r="A860" s="98"/>
      <c r="B860" s="101"/>
      <c r="C860" s="70" t="str">
        <f>"PXIe-7820R/DIO" &amp; D860</f>
        <v>PXIe-7820R/DIO117</v>
      </c>
      <c r="D860" s="30">
        <f t="shared" si="233"/>
        <v>117</v>
      </c>
      <c r="E860" s="30" t="str">
        <f t="shared" si="236"/>
        <v>PFGA DI (DI State)</v>
      </c>
      <c r="F860" s="30" t="str">
        <f t="shared" si="236"/>
        <v>DI</v>
      </c>
      <c r="G860" s="30" t="str">
        <f t="shared" si="235"/>
        <v>ATE/IO150/DI</v>
      </c>
      <c r="H860" s="90" t="str">
        <f>Paths!$B$3 &amp; I860 &amp; Paths!$B$8</f>
        <v>Targets/Controller/Custom Devices/FPGA Addon/Scalars/Scalar Inputs/DI.IO150/STATE</v>
      </c>
      <c r="I860" s="33" t="str">
        <f>I859</f>
        <v>IO150</v>
      </c>
      <c r="J860" s="104"/>
      <c r="K860" s="104"/>
      <c r="L860" s="107"/>
      <c r="M860" s="92"/>
      <c r="N860" s="95"/>
    </row>
    <row r="861" spans="1:14" x14ac:dyDescent="0.45">
      <c r="A861" s="98"/>
      <c r="B861" s="101"/>
      <c r="C861" s="70" t="str">
        <f>"PXIe-7820R/DIO" &amp; D861</f>
        <v>PXIe-7820R/DIO117</v>
      </c>
      <c r="D861" s="30">
        <f t="shared" si="233"/>
        <v>117</v>
      </c>
      <c r="E861" s="30" t="str">
        <f t="shared" si="236"/>
        <v>FPGA DI (PWM Meas.)</v>
      </c>
      <c r="F861" s="30" t="str">
        <f t="shared" si="236"/>
        <v>PWM_TIMEOUT</v>
      </c>
      <c r="G861" s="30" t="str">
        <f t="shared" si="235"/>
        <v>ATE/IO150/PWM_TIMEOUT</v>
      </c>
      <c r="H861" s="40" t="str">
        <f>Paths!$B$5 &amp; I861 &amp; Paths!$B$11</f>
        <v>Targets/Controller/Custom Devices/FPGA Addon/Scalars/Scalar Outputs/PWM.Set.IO150/TIMEOUT</v>
      </c>
      <c r="I861" s="33" t="str">
        <f>I858</f>
        <v>IO150</v>
      </c>
      <c r="J861" s="104"/>
      <c r="K861" s="104"/>
      <c r="L861" s="107"/>
      <c r="M861" s="92"/>
      <c r="N861" s="95"/>
    </row>
    <row r="862" spans="1:14" x14ac:dyDescent="0.45">
      <c r="A862" s="98"/>
      <c r="B862" s="101"/>
      <c r="C862" s="70" t="str">
        <f>"SLSC-12202-2/P" &amp; ROUNDDOWN(D862/8,0) &amp; "." &amp; MOD(D862,8)</f>
        <v>SLSC-12202-2/P2.5</v>
      </c>
      <c r="D862" s="30">
        <f t="shared" ref="D862:D882" si="237">D855+1</f>
        <v>21</v>
      </c>
      <c r="E862" s="30" t="str">
        <f t="shared" si="236"/>
        <v>Input</v>
      </c>
      <c r="F862" s="30" t="str">
        <f t="shared" si="236"/>
        <v>None</v>
      </c>
      <c r="G862" s="30" t="str">
        <f t="shared" si="235"/>
        <v>None</v>
      </c>
      <c r="H862" s="36" t="str">
        <f>Paths!$B$18 &amp; "port" &amp; ROUNDDOWN(D862/8,0) &amp; "//line" &amp;MOD(D862,8) &amp;"/Properties/NI.Line.Direction"</f>
        <v>Targets/Controller/Hardware/SLSC/SLSC Chassis/Modules/Slot 7 (SLSC EDS)/Physical Channels/port2//line5/Properties/NI.Line.Direction</v>
      </c>
      <c r="I862" s="33" t="str">
        <f>I858</f>
        <v>IO150</v>
      </c>
      <c r="J862" s="104"/>
      <c r="K862" s="104"/>
      <c r="L862" s="107"/>
      <c r="M862" s="92"/>
      <c r="N862" s="95"/>
    </row>
    <row r="863" spans="1:14" x14ac:dyDescent="0.45">
      <c r="A863" s="98"/>
      <c r="B863" s="101"/>
      <c r="C863" s="70" t="str">
        <f>"PXIe-6375/AI" &amp; D863</f>
        <v>PXIe-6375/AI181</v>
      </c>
      <c r="D863" s="30">
        <f t="shared" si="237"/>
        <v>181</v>
      </c>
      <c r="E863" s="56" t="str">
        <f t="shared" si="236"/>
        <v>Scaled current 0-8 A</v>
      </c>
      <c r="F863" s="30" t="str">
        <f t="shared" si="236"/>
        <v>TBD</v>
      </c>
      <c r="G863" s="30" t="str">
        <f t="shared" si="235"/>
        <v>None</v>
      </c>
      <c r="H863" s="41" t="str">
        <f>Paths!$B$27 &amp; I863 &amp; Paths!$B$29</f>
        <v>Targets/Controller/Calculated Channels/ATE/IO150/AI</v>
      </c>
      <c r="I863" s="33" t="str">
        <f>I858</f>
        <v>IO150</v>
      </c>
      <c r="J863" s="104"/>
      <c r="K863" s="104"/>
      <c r="L863" s="107"/>
      <c r="M863" s="92"/>
      <c r="N863" s="95"/>
    </row>
    <row r="864" spans="1:14" ht="14.65" thickBot="1" x14ac:dyDescent="0.5">
      <c r="A864" s="99"/>
      <c r="B864" s="102"/>
      <c r="C864" s="71" t="str">
        <f>"SLSC-12251-4/Ch" &amp; D864 &amp; "_DUT"</f>
        <v>SLSC-12251-4/Ch5_DUT</v>
      </c>
      <c r="D864" s="31">
        <f t="shared" si="237"/>
        <v>5</v>
      </c>
      <c r="E864" s="31" t="str">
        <f t="shared" si="236"/>
        <v>FIU</v>
      </c>
      <c r="F864" s="31" t="str">
        <f t="shared" si="236"/>
        <v>TBD</v>
      </c>
      <c r="G864" s="31" t="str">
        <f t="shared" si="235"/>
        <v>None</v>
      </c>
      <c r="H864" s="42" t="str">
        <f>Paths!$B$16 &amp; D864</f>
        <v>Targets/Controller/Hardware/SLSC/SLSC Chassis/Modules/Slot 4 (SLSC EDS :: SLSC-12251)/Physical Channels/Channel_5</v>
      </c>
      <c r="I864" s="59" t="str">
        <f>I858</f>
        <v>IO150</v>
      </c>
      <c r="J864" s="105"/>
      <c r="K864" s="105"/>
      <c r="L864" s="108"/>
      <c r="M864" s="93"/>
      <c r="N864" s="96"/>
    </row>
    <row r="865" spans="1:14" ht="15" customHeight="1" x14ac:dyDescent="0.45">
      <c r="A865" s="97">
        <f>A858+1</f>
        <v>151</v>
      </c>
      <c r="B865" s="100" t="str">
        <f>B858</f>
        <v>HIGH LOAD
DI: 0-60 V
AI: 0-60 V
EXT LOAD</v>
      </c>
      <c r="C865" s="69" t="str">
        <f>"PXIe-7820R/DIO" &amp; D865</f>
        <v>PXIe-7820R/DIO118</v>
      </c>
      <c r="D865" s="29">
        <f t="shared" si="237"/>
        <v>118</v>
      </c>
      <c r="E865" s="55" t="str">
        <f t="shared" si="236"/>
        <v>FPGA DI (PWM Meas.)</v>
      </c>
      <c r="F865" s="55" t="str">
        <f t="shared" si="236"/>
        <v>PWM_FR</v>
      </c>
      <c r="G865" s="29" t="str">
        <f t="shared" si="235"/>
        <v>ATE/IO151/PWM_FR</v>
      </c>
      <c r="H865" s="39" t="str">
        <f>Paths!$B$4 &amp; I865 &amp; Paths!$B$9</f>
        <v>Targets/Controller/Custom Devices/FPGA Addon/Scalars/Scalar Inputs/PWM.In.IO151/FREQ</v>
      </c>
      <c r="I865" s="32" t="str">
        <f>"IO" &amp; A865</f>
        <v>IO151</v>
      </c>
      <c r="J865" s="103" t="s">
        <v>6</v>
      </c>
      <c r="K865" s="103" t="s">
        <v>7</v>
      </c>
      <c r="L865" s="106"/>
      <c r="M865" s="91"/>
      <c r="N865" s="94"/>
    </row>
    <row r="866" spans="1:14" x14ac:dyDescent="0.45">
      <c r="A866" s="98"/>
      <c r="B866" s="101"/>
      <c r="C866" s="70" t="str">
        <f>"PXIe-7820R/DIO" &amp; D866</f>
        <v>PXIe-7820R/DIO118</v>
      </c>
      <c r="D866" s="30">
        <f t="shared" si="237"/>
        <v>118</v>
      </c>
      <c r="E866" s="30" t="str">
        <f t="shared" si="236"/>
        <v>FPGA DI (PWM Meas.)</v>
      </c>
      <c r="F866" s="30" t="str">
        <f t="shared" si="236"/>
        <v>PWM_DC</v>
      </c>
      <c r="G866" s="30" t="str">
        <f t="shared" si="235"/>
        <v>ATE/IO151/PWM_DC</v>
      </c>
      <c r="H866" s="40" t="str">
        <f>Paths!$B$4 &amp; I866 &amp; Paths!$B$10</f>
        <v>Targets/Controller/Custom Devices/FPGA Addon/Scalars/Scalar Inputs/PWM.In.IO151/DC</v>
      </c>
      <c r="I866" s="33" t="str">
        <f>I865</f>
        <v>IO151</v>
      </c>
      <c r="J866" s="104"/>
      <c r="K866" s="104"/>
      <c r="L866" s="107"/>
      <c r="M866" s="92"/>
      <c r="N866" s="95"/>
    </row>
    <row r="867" spans="1:14" x14ac:dyDescent="0.45">
      <c r="A867" s="98"/>
      <c r="B867" s="101"/>
      <c r="C867" s="70" t="str">
        <f>"PXIe-7820R/DIO" &amp; D867</f>
        <v>PXIe-7820R/DIO118</v>
      </c>
      <c r="D867" s="30">
        <f t="shared" si="237"/>
        <v>118</v>
      </c>
      <c r="E867" s="30" t="str">
        <f t="shared" si="236"/>
        <v>PFGA DI (DI State)</v>
      </c>
      <c r="F867" s="30" t="str">
        <f t="shared" si="236"/>
        <v>DI</v>
      </c>
      <c r="G867" s="30" t="str">
        <f t="shared" si="235"/>
        <v>ATE/IO151/DI</v>
      </c>
      <c r="H867" s="90" t="str">
        <f>Paths!$B$3 &amp; I867 &amp; Paths!$B$8</f>
        <v>Targets/Controller/Custom Devices/FPGA Addon/Scalars/Scalar Inputs/DI.IO151/STATE</v>
      </c>
      <c r="I867" s="33" t="str">
        <f>I866</f>
        <v>IO151</v>
      </c>
      <c r="J867" s="104"/>
      <c r="K867" s="104"/>
      <c r="L867" s="107"/>
      <c r="M867" s="92"/>
      <c r="N867" s="95"/>
    </row>
    <row r="868" spans="1:14" x14ac:dyDescent="0.45">
      <c r="A868" s="98"/>
      <c r="B868" s="101"/>
      <c r="C868" s="70" t="str">
        <f>"PXIe-7820R/DIO" &amp; D868</f>
        <v>PXIe-7820R/DIO118</v>
      </c>
      <c r="D868" s="30">
        <f t="shared" si="237"/>
        <v>118</v>
      </c>
      <c r="E868" s="30" t="str">
        <f t="shared" si="236"/>
        <v>FPGA DI (PWM Meas.)</v>
      </c>
      <c r="F868" s="30" t="str">
        <f t="shared" si="236"/>
        <v>PWM_TIMEOUT</v>
      </c>
      <c r="G868" s="30" t="str">
        <f t="shared" si="235"/>
        <v>ATE/IO151/PWM_TIMEOUT</v>
      </c>
      <c r="H868" s="40" t="str">
        <f>Paths!$B$5 &amp; I868 &amp; Paths!$B$11</f>
        <v>Targets/Controller/Custom Devices/FPGA Addon/Scalars/Scalar Outputs/PWM.Set.IO151/TIMEOUT</v>
      </c>
      <c r="I868" s="33" t="str">
        <f>I865</f>
        <v>IO151</v>
      </c>
      <c r="J868" s="104"/>
      <c r="K868" s="104"/>
      <c r="L868" s="107"/>
      <c r="M868" s="92"/>
      <c r="N868" s="95"/>
    </row>
    <row r="869" spans="1:14" x14ac:dyDescent="0.45">
      <c r="A869" s="98"/>
      <c r="B869" s="101"/>
      <c r="C869" s="70" t="str">
        <f>"SLSC-12202-2/P" &amp; ROUNDDOWN(D869/8,0) &amp; "." &amp; MOD(D869,8)</f>
        <v>SLSC-12202-2/P2.6</v>
      </c>
      <c r="D869" s="30">
        <f t="shared" si="237"/>
        <v>22</v>
      </c>
      <c r="E869" s="30" t="str">
        <f t="shared" si="236"/>
        <v>Input</v>
      </c>
      <c r="F869" s="30" t="str">
        <f t="shared" si="236"/>
        <v>None</v>
      </c>
      <c r="G869" s="30" t="str">
        <f t="shared" si="235"/>
        <v>None</v>
      </c>
      <c r="H869" s="36" t="str">
        <f>Paths!$B$18 &amp; "port" &amp; ROUNDDOWN(D869/8,0) &amp; "//line" &amp;MOD(D869,8) &amp;"/Properties/NI.Line.Direction"</f>
        <v>Targets/Controller/Hardware/SLSC/SLSC Chassis/Modules/Slot 7 (SLSC EDS)/Physical Channels/port2//line6/Properties/NI.Line.Direction</v>
      </c>
      <c r="I869" s="33" t="str">
        <f>I865</f>
        <v>IO151</v>
      </c>
      <c r="J869" s="104"/>
      <c r="K869" s="104"/>
      <c r="L869" s="107"/>
      <c r="M869" s="92"/>
      <c r="N869" s="95"/>
    </row>
    <row r="870" spans="1:14" x14ac:dyDescent="0.45">
      <c r="A870" s="98"/>
      <c r="B870" s="101"/>
      <c r="C870" s="70" t="str">
        <f>"PXIe-6375/AI" &amp; D870</f>
        <v>PXIe-6375/AI182</v>
      </c>
      <c r="D870" s="30">
        <f t="shared" si="237"/>
        <v>182</v>
      </c>
      <c r="E870" s="56" t="str">
        <f t="shared" si="236"/>
        <v>Scaled current 0-8 A</v>
      </c>
      <c r="F870" s="30" t="str">
        <f t="shared" si="236"/>
        <v>TBD</v>
      </c>
      <c r="G870" s="30" t="str">
        <f t="shared" si="235"/>
        <v>None</v>
      </c>
      <c r="H870" s="41" t="str">
        <f>Paths!$B$27 &amp; I870 &amp; Paths!$B$29</f>
        <v>Targets/Controller/Calculated Channels/ATE/IO151/AI</v>
      </c>
      <c r="I870" s="33" t="str">
        <f>I865</f>
        <v>IO151</v>
      </c>
      <c r="J870" s="104"/>
      <c r="K870" s="104"/>
      <c r="L870" s="107"/>
      <c r="M870" s="92"/>
      <c r="N870" s="95"/>
    </row>
    <row r="871" spans="1:14" ht="14.65" thickBot="1" x14ac:dyDescent="0.5">
      <c r="A871" s="99"/>
      <c r="B871" s="102"/>
      <c r="C871" s="71" t="str">
        <f>"SLSC-12251-4/Ch" &amp; D871 &amp; "_DUT"</f>
        <v>SLSC-12251-4/Ch6_DUT</v>
      </c>
      <c r="D871" s="31">
        <f t="shared" si="237"/>
        <v>6</v>
      </c>
      <c r="E871" s="31" t="str">
        <f t="shared" si="236"/>
        <v>FIU</v>
      </c>
      <c r="F871" s="31" t="str">
        <f t="shared" si="236"/>
        <v>TBD</v>
      </c>
      <c r="G871" s="31" t="str">
        <f t="shared" si="235"/>
        <v>None</v>
      </c>
      <c r="H871" s="42" t="str">
        <f>Paths!$B$16 &amp; D871</f>
        <v>Targets/Controller/Hardware/SLSC/SLSC Chassis/Modules/Slot 4 (SLSC EDS :: SLSC-12251)/Physical Channels/Channel_6</v>
      </c>
      <c r="I871" s="59" t="str">
        <f>I865</f>
        <v>IO151</v>
      </c>
      <c r="J871" s="105"/>
      <c r="K871" s="105"/>
      <c r="L871" s="108"/>
      <c r="M871" s="93"/>
      <c r="N871" s="96"/>
    </row>
    <row r="872" spans="1:14" ht="15" customHeight="1" x14ac:dyDescent="0.45">
      <c r="A872" s="97">
        <f>A865+1</f>
        <v>152</v>
      </c>
      <c r="B872" s="100" t="str">
        <f>B865</f>
        <v>HIGH LOAD
DI: 0-60 V
AI: 0-60 V
EXT LOAD</v>
      </c>
      <c r="C872" s="69" t="str">
        <f>"PXIe-7820R/DIO" &amp; D872</f>
        <v>PXIe-7820R/DIO119</v>
      </c>
      <c r="D872" s="29">
        <f t="shared" si="237"/>
        <v>119</v>
      </c>
      <c r="E872" s="55" t="str">
        <f t="shared" si="236"/>
        <v>FPGA DI (PWM Meas.)</v>
      </c>
      <c r="F872" s="55" t="str">
        <f t="shared" si="236"/>
        <v>PWM_FR</v>
      </c>
      <c r="G872" s="29" t="str">
        <f t="shared" si="235"/>
        <v>ATE/IO152/PWM_FR</v>
      </c>
      <c r="H872" s="39" t="str">
        <f>Paths!$B$4 &amp; I872 &amp; Paths!$B$9</f>
        <v>Targets/Controller/Custom Devices/FPGA Addon/Scalars/Scalar Inputs/PWM.In.IO152/FREQ</v>
      </c>
      <c r="I872" s="32" t="str">
        <f>"IO" &amp; A872</f>
        <v>IO152</v>
      </c>
      <c r="J872" s="103" t="s">
        <v>6</v>
      </c>
      <c r="K872" s="103" t="s">
        <v>7</v>
      </c>
      <c r="L872" s="106"/>
      <c r="M872" s="91"/>
      <c r="N872" s="94"/>
    </row>
    <row r="873" spans="1:14" x14ac:dyDescent="0.45">
      <c r="A873" s="98"/>
      <c r="B873" s="101"/>
      <c r="C873" s="70" t="str">
        <f>"PXIe-7820R/DIO" &amp; D873</f>
        <v>PXIe-7820R/DIO119</v>
      </c>
      <c r="D873" s="30">
        <f t="shared" si="237"/>
        <v>119</v>
      </c>
      <c r="E873" s="30" t="str">
        <f t="shared" si="236"/>
        <v>FPGA DI (PWM Meas.)</v>
      </c>
      <c r="F873" s="30" t="str">
        <f t="shared" si="236"/>
        <v>PWM_DC</v>
      </c>
      <c r="G873" s="30" t="str">
        <f t="shared" si="235"/>
        <v>ATE/IO152/PWM_DC</v>
      </c>
      <c r="H873" s="40" t="str">
        <f>Paths!$B$4 &amp; I873 &amp; Paths!$B$10</f>
        <v>Targets/Controller/Custom Devices/FPGA Addon/Scalars/Scalar Inputs/PWM.In.IO152/DC</v>
      </c>
      <c r="I873" s="33" t="str">
        <f>I872</f>
        <v>IO152</v>
      </c>
      <c r="J873" s="104"/>
      <c r="K873" s="104"/>
      <c r="L873" s="107"/>
      <c r="M873" s="92"/>
      <c r="N873" s="95"/>
    </row>
    <row r="874" spans="1:14" x14ac:dyDescent="0.45">
      <c r="A874" s="98"/>
      <c r="B874" s="101"/>
      <c r="C874" s="70" t="str">
        <f>"PXIe-7820R/DIO" &amp; D874</f>
        <v>PXIe-7820R/DIO119</v>
      </c>
      <c r="D874" s="30">
        <f t="shared" si="237"/>
        <v>119</v>
      </c>
      <c r="E874" s="30" t="str">
        <f t="shared" ref="E874:F893" si="238">E867</f>
        <v>PFGA DI (DI State)</v>
      </c>
      <c r="F874" s="30" t="str">
        <f t="shared" si="238"/>
        <v>DI</v>
      </c>
      <c r="G874" s="30" t="str">
        <f t="shared" si="235"/>
        <v>ATE/IO152/DI</v>
      </c>
      <c r="H874" s="90" t="str">
        <f>Paths!$B$3 &amp; I874 &amp; Paths!$B$8</f>
        <v>Targets/Controller/Custom Devices/FPGA Addon/Scalars/Scalar Inputs/DI.IO152/STATE</v>
      </c>
      <c r="I874" s="33" t="str">
        <f>I873</f>
        <v>IO152</v>
      </c>
      <c r="J874" s="104"/>
      <c r="K874" s="104"/>
      <c r="L874" s="107"/>
      <c r="M874" s="92"/>
      <c r="N874" s="95"/>
    </row>
    <row r="875" spans="1:14" x14ac:dyDescent="0.45">
      <c r="A875" s="98"/>
      <c r="B875" s="101"/>
      <c r="C875" s="70" t="str">
        <f>"PXIe-7820R/DIO" &amp; D875</f>
        <v>PXIe-7820R/DIO119</v>
      </c>
      <c r="D875" s="30">
        <f t="shared" si="237"/>
        <v>119</v>
      </c>
      <c r="E875" s="30" t="str">
        <f t="shared" si="238"/>
        <v>FPGA DI (PWM Meas.)</v>
      </c>
      <c r="F875" s="30" t="str">
        <f t="shared" si="238"/>
        <v>PWM_TIMEOUT</v>
      </c>
      <c r="G875" s="30" t="str">
        <f t="shared" si="235"/>
        <v>ATE/IO152/PWM_TIMEOUT</v>
      </c>
      <c r="H875" s="40" t="str">
        <f>Paths!$B$5 &amp; I875 &amp; Paths!$B$11</f>
        <v>Targets/Controller/Custom Devices/FPGA Addon/Scalars/Scalar Outputs/PWM.Set.IO152/TIMEOUT</v>
      </c>
      <c r="I875" s="33" t="str">
        <f>I872</f>
        <v>IO152</v>
      </c>
      <c r="J875" s="104"/>
      <c r="K875" s="104"/>
      <c r="L875" s="107"/>
      <c r="M875" s="92"/>
      <c r="N875" s="95"/>
    </row>
    <row r="876" spans="1:14" x14ac:dyDescent="0.45">
      <c r="A876" s="98"/>
      <c r="B876" s="101"/>
      <c r="C876" s="70" t="str">
        <f>"SLSC-12202-2/P" &amp; ROUNDDOWN(D876/8,0) &amp; "." &amp; MOD(D876,8)</f>
        <v>SLSC-12202-2/P2.7</v>
      </c>
      <c r="D876" s="30">
        <f t="shared" si="237"/>
        <v>23</v>
      </c>
      <c r="E876" s="30" t="str">
        <f t="shared" si="238"/>
        <v>Input</v>
      </c>
      <c r="F876" s="30" t="str">
        <f t="shared" si="238"/>
        <v>None</v>
      </c>
      <c r="G876" s="30" t="str">
        <f t="shared" si="235"/>
        <v>None</v>
      </c>
      <c r="H876" s="36" t="str">
        <f>Paths!$B$18 &amp; "port" &amp; ROUNDDOWN(D876/8,0) &amp; "//line" &amp;MOD(D876,8) &amp;"/Properties/NI.Line.Direction"</f>
        <v>Targets/Controller/Hardware/SLSC/SLSC Chassis/Modules/Slot 7 (SLSC EDS)/Physical Channels/port2//line7/Properties/NI.Line.Direction</v>
      </c>
      <c r="I876" s="33" t="str">
        <f>I872</f>
        <v>IO152</v>
      </c>
      <c r="J876" s="104"/>
      <c r="K876" s="104"/>
      <c r="L876" s="107"/>
      <c r="M876" s="92"/>
      <c r="N876" s="95"/>
    </row>
    <row r="877" spans="1:14" x14ac:dyDescent="0.45">
      <c r="A877" s="98"/>
      <c r="B877" s="101"/>
      <c r="C877" s="70" t="str">
        <f>"PXIe-6375/AI" &amp; D877</f>
        <v>PXIe-6375/AI183</v>
      </c>
      <c r="D877" s="30">
        <f t="shared" si="237"/>
        <v>183</v>
      </c>
      <c r="E877" s="56" t="str">
        <f t="shared" si="238"/>
        <v>Scaled current 0-8 A</v>
      </c>
      <c r="F877" s="30" t="str">
        <f t="shared" si="238"/>
        <v>TBD</v>
      </c>
      <c r="G877" s="30" t="str">
        <f t="shared" si="235"/>
        <v>None</v>
      </c>
      <c r="H877" s="41" t="str">
        <f>Paths!$B$27 &amp; I877 &amp; Paths!$B$29</f>
        <v>Targets/Controller/Calculated Channels/ATE/IO152/AI</v>
      </c>
      <c r="I877" s="33" t="str">
        <f>I872</f>
        <v>IO152</v>
      </c>
      <c r="J877" s="104"/>
      <c r="K877" s="104"/>
      <c r="L877" s="107"/>
      <c r="M877" s="92"/>
      <c r="N877" s="95"/>
    </row>
    <row r="878" spans="1:14" ht="14.65" thickBot="1" x14ac:dyDescent="0.5">
      <c r="A878" s="99"/>
      <c r="B878" s="102"/>
      <c r="C878" s="71" t="str">
        <f>"SLSC-12251-4/Ch" &amp; D878 &amp; "_DUT"</f>
        <v>SLSC-12251-4/Ch7_DUT</v>
      </c>
      <c r="D878" s="31">
        <f t="shared" si="237"/>
        <v>7</v>
      </c>
      <c r="E878" s="31" t="str">
        <f t="shared" si="238"/>
        <v>FIU</v>
      </c>
      <c r="F878" s="31" t="str">
        <f t="shared" si="238"/>
        <v>TBD</v>
      </c>
      <c r="G878" s="31" t="str">
        <f t="shared" si="235"/>
        <v>None</v>
      </c>
      <c r="H878" s="42" t="str">
        <f>Paths!$B$16 &amp; D878</f>
        <v>Targets/Controller/Hardware/SLSC/SLSC Chassis/Modules/Slot 4 (SLSC EDS :: SLSC-12251)/Physical Channels/Channel_7</v>
      </c>
      <c r="I878" s="59" t="str">
        <f>I872</f>
        <v>IO152</v>
      </c>
      <c r="J878" s="105"/>
      <c r="K878" s="105"/>
      <c r="L878" s="108"/>
      <c r="M878" s="93"/>
      <c r="N878" s="96"/>
    </row>
    <row r="879" spans="1:14" ht="15" customHeight="1" x14ac:dyDescent="0.45">
      <c r="A879" s="97">
        <f>A872+1</f>
        <v>153</v>
      </c>
      <c r="B879" s="100" t="str">
        <f>B872</f>
        <v>HIGH LOAD
DI: 0-60 V
AI: 0-60 V
EXT LOAD</v>
      </c>
      <c r="C879" s="69" t="str">
        <f>"PXIe-7820R/DIO" &amp; D879</f>
        <v>PXIe-7820R/DIO120</v>
      </c>
      <c r="D879" s="29">
        <f t="shared" si="237"/>
        <v>120</v>
      </c>
      <c r="E879" s="55" t="str">
        <f t="shared" si="238"/>
        <v>FPGA DI (PWM Meas.)</v>
      </c>
      <c r="F879" s="55" t="str">
        <f t="shared" si="238"/>
        <v>PWM_FR</v>
      </c>
      <c r="G879" s="29" t="str">
        <f t="shared" si="235"/>
        <v>ATE/IO153/PWM_FR</v>
      </c>
      <c r="H879" s="39" t="str">
        <f>Paths!$B$4 &amp; I879 &amp; Paths!$B$9</f>
        <v>Targets/Controller/Custom Devices/FPGA Addon/Scalars/Scalar Inputs/PWM.In.IO153/FREQ</v>
      </c>
      <c r="I879" s="32" t="str">
        <f>"IO" &amp; A879</f>
        <v>IO153</v>
      </c>
      <c r="J879" s="103" t="s">
        <v>6</v>
      </c>
      <c r="K879" s="103" t="s">
        <v>7</v>
      </c>
      <c r="L879" s="106"/>
      <c r="M879" s="91"/>
      <c r="N879" s="94"/>
    </row>
    <row r="880" spans="1:14" x14ac:dyDescent="0.45">
      <c r="A880" s="98"/>
      <c r="B880" s="101"/>
      <c r="C880" s="70" t="str">
        <f>"PXIe-7820R/DIO" &amp; D880</f>
        <v>PXIe-7820R/DIO120</v>
      </c>
      <c r="D880" s="30">
        <f t="shared" si="237"/>
        <v>120</v>
      </c>
      <c r="E880" s="30" t="str">
        <f t="shared" si="238"/>
        <v>FPGA DI (PWM Meas.)</v>
      </c>
      <c r="F880" s="30" t="str">
        <f t="shared" si="238"/>
        <v>PWM_DC</v>
      </c>
      <c r="G880" s="30" t="str">
        <f t="shared" si="235"/>
        <v>ATE/IO153/PWM_DC</v>
      </c>
      <c r="H880" s="40" t="str">
        <f>Paths!$B$4 &amp; I880 &amp; Paths!$B$10</f>
        <v>Targets/Controller/Custom Devices/FPGA Addon/Scalars/Scalar Inputs/PWM.In.IO153/DC</v>
      </c>
      <c r="I880" s="33" t="str">
        <f>I879</f>
        <v>IO153</v>
      </c>
      <c r="J880" s="104"/>
      <c r="K880" s="104"/>
      <c r="L880" s="107"/>
      <c r="M880" s="92"/>
      <c r="N880" s="95"/>
    </row>
    <row r="881" spans="1:14" x14ac:dyDescent="0.45">
      <c r="A881" s="98"/>
      <c r="B881" s="101"/>
      <c r="C881" s="70" t="str">
        <f>"PXIe-7820R/DIO" &amp; D881</f>
        <v>PXIe-7820R/DIO120</v>
      </c>
      <c r="D881" s="30">
        <f t="shared" si="237"/>
        <v>120</v>
      </c>
      <c r="E881" s="30" t="str">
        <f t="shared" si="238"/>
        <v>PFGA DI (DI State)</v>
      </c>
      <c r="F881" s="30" t="str">
        <f t="shared" si="238"/>
        <v>DI</v>
      </c>
      <c r="G881" s="30" t="str">
        <f t="shared" si="235"/>
        <v>ATE/IO153/DI</v>
      </c>
      <c r="H881" s="90" t="str">
        <f>Paths!$B$3 &amp; I881 &amp; Paths!$B$8</f>
        <v>Targets/Controller/Custom Devices/FPGA Addon/Scalars/Scalar Inputs/DI.IO153/STATE</v>
      </c>
      <c r="I881" s="33" t="str">
        <f>I880</f>
        <v>IO153</v>
      </c>
      <c r="J881" s="104"/>
      <c r="K881" s="104"/>
      <c r="L881" s="107"/>
      <c r="M881" s="92"/>
      <c r="N881" s="95"/>
    </row>
    <row r="882" spans="1:14" x14ac:dyDescent="0.45">
      <c r="A882" s="98"/>
      <c r="B882" s="101"/>
      <c r="C882" s="70" t="str">
        <f>"PXIe-7820R/DIO" &amp; D882</f>
        <v>PXIe-7820R/DIO120</v>
      </c>
      <c r="D882" s="30">
        <f t="shared" si="237"/>
        <v>120</v>
      </c>
      <c r="E882" s="30" t="str">
        <f t="shared" si="238"/>
        <v>FPGA DI (PWM Meas.)</v>
      </c>
      <c r="F882" s="30" t="str">
        <f t="shared" si="238"/>
        <v>PWM_TIMEOUT</v>
      </c>
      <c r="G882" s="30" t="str">
        <f t="shared" si="235"/>
        <v>ATE/IO153/PWM_TIMEOUT</v>
      </c>
      <c r="H882" s="40" t="str">
        <f>Paths!$B$5 &amp; I882 &amp; Paths!$B$11</f>
        <v>Targets/Controller/Custom Devices/FPGA Addon/Scalars/Scalar Outputs/PWM.Set.IO153/TIMEOUT</v>
      </c>
      <c r="I882" s="33" t="str">
        <f>I879</f>
        <v>IO153</v>
      </c>
      <c r="J882" s="104"/>
      <c r="K882" s="104"/>
      <c r="L882" s="107"/>
      <c r="M882" s="92"/>
      <c r="N882" s="95"/>
    </row>
    <row r="883" spans="1:14" x14ac:dyDescent="0.45">
      <c r="A883" s="98"/>
      <c r="B883" s="101"/>
      <c r="C883" s="70" t="str">
        <f>"SLSC-12202-2/P" &amp; ROUNDDOWN(D883/8,0) &amp; "." &amp; MOD(D883,8)</f>
        <v>SLSC-12202-2/P3.0</v>
      </c>
      <c r="D883" s="30">
        <f t="shared" ref="D883" si="239">D876+1</f>
        <v>24</v>
      </c>
      <c r="E883" s="30" t="str">
        <f t="shared" si="238"/>
        <v>Input</v>
      </c>
      <c r="F883" s="30" t="str">
        <f t="shared" si="238"/>
        <v>None</v>
      </c>
      <c r="G883" s="30" t="str">
        <f t="shared" si="235"/>
        <v>None</v>
      </c>
      <c r="H883" s="36" t="str">
        <f>Paths!$B$18 &amp; "port" &amp; ROUNDDOWN(D883/8,0) &amp; "//line" &amp;MOD(D883,8) &amp;"/Properties/NI.Line.Direction"</f>
        <v>Targets/Controller/Hardware/SLSC/SLSC Chassis/Modules/Slot 7 (SLSC EDS)/Physical Channels/port3//line0/Properties/NI.Line.Direction</v>
      </c>
      <c r="I883" s="33" t="str">
        <f>I879</f>
        <v>IO153</v>
      </c>
      <c r="J883" s="104"/>
      <c r="K883" s="104"/>
      <c r="L883" s="107"/>
      <c r="M883" s="92"/>
      <c r="N883" s="95"/>
    </row>
    <row r="884" spans="1:14" x14ac:dyDescent="0.45">
      <c r="A884" s="98"/>
      <c r="B884" s="101"/>
      <c r="C884" s="70" t="str">
        <f>"PXIe-6375/AI" &amp; D884</f>
        <v>PXIe-6375/AI192</v>
      </c>
      <c r="D884" s="45">
        <v>192</v>
      </c>
      <c r="E884" s="56" t="str">
        <f t="shared" si="238"/>
        <v>Scaled current 0-8 A</v>
      </c>
      <c r="F884" s="30" t="str">
        <f t="shared" si="238"/>
        <v>TBD</v>
      </c>
      <c r="G884" s="30" t="str">
        <f t="shared" si="235"/>
        <v>None</v>
      </c>
      <c r="H884" s="41" t="str">
        <f>Paths!$B$27 &amp; I884 &amp; Paths!$B$29</f>
        <v>Targets/Controller/Calculated Channels/ATE/IO153/AI</v>
      </c>
      <c r="I884" s="33" t="str">
        <f>I879</f>
        <v>IO153</v>
      </c>
      <c r="J884" s="104"/>
      <c r="K884" s="104"/>
      <c r="L884" s="107"/>
      <c r="M884" s="92"/>
      <c r="N884" s="95"/>
    </row>
    <row r="885" spans="1:14" ht="14.65" thickBot="1" x14ac:dyDescent="0.5">
      <c r="A885" s="99"/>
      <c r="B885" s="102"/>
      <c r="C885" s="71" t="str">
        <f>"SLSC-12251-4/Ch" &amp; D885 &amp; "_DUT"</f>
        <v>SLSC-12251-4/Ch8_DUT</v>
      </c>
      <c r="D885" s="31">
        <f t="shared" ref="D885:D916" si="240">D878+1</f>
        <v>8</v>
      </c>
      <c r="E885" s="31" t="str">
        <f t="shared" si="238"/>
        <v>FIU</v>
      </c>
      <c r="F885" s="31" t="str">
        <f t="shared" si="238"/>
        <v>TBD</v>
      </c>
      <c r="G885" s="31" t="str">
        <f t="shared" si="235"/>
        <v>None</v>
      </c>
      <c r="H885" s="42" t="str">
        <f>Paths!$B$16 &amp; D885</f>
        <v>Targets/Controller/Hardware/SLSC/SLSC Chassis/Modules/Slot 4 (SLSC EDS :: SLSC-12251)/Physical Channels/Channel_8</v>
      </c>
      <c r="I885" s="59" t="str">
        <f>I879</f>
        <v>IO153</v>
      </c>
      <c r="J885" s="105"/>
      <c r="K885" s="105"/>
      <c r="L885" s="108"/>
      <c r="M885" s="93"/>
      <c r="N885" s="96"/>
    </row>
    <row r="886" spans="1:14" ht="15" customHeight="1" x14ac:dyDescent="0.45">
      <c r="A886" s="97">
        <f>A879+1</f>
        <v>154</v>
      </c>
      <c r="B886" s="100" t="str">
        <f>B879</f>
        <v>HIGH LOAD
DI: 0-60 V
AI: 0-60 V
EXT LOAD</v>
      </c>
      <c r="C886" s="69" t="str">
        <f>"PXIe-7820R/DIO" &amp; D886</f>
        <v>PXIe-7820R/DIO121</v>
      </c>
      <c r="D886" s="29">
        <f t="shared" si="240"/>
        <v>121</v>
      </c>
      <c r="E886" s="55" t="str">
        <f t="shared" si="238"/>
        <v>FPGA DI (PWM Meas.)</v>
      </c>
      <c r="F886" s="55" t="str">
        <f t="shared" si="238"/>
        <v>PWM_FR</v>
      </c>
      <c r="G886" s="29" t="str">
        <f t="shared" si="235"/>
        <v>ATE/IO154/PWM_FR</v>
      </c>
      <c r="H886" s="39" t="str">
        <f>Paths!$B$4 &amp; I886 &amp; Paths!$B$9</f>
        <v>Targets/Controller/Custom Devices/FPGA Addon/Scalars/Scalar Inputs/PWM.In.IO154/FREQ</v>
      </c>
      <c r="I886" s="32" t="str">
        <f>"IO" &amp; A886</f>
        <v>IO154</v>
      </c>
      <c r="J886" s="103" t="s">
        <v>6</v>
      </c>
      <c r="K886" s="103" t="s">
        <v>7</v>
      </c>
      <c r="L886" s="106"/>
      <c r="M886" s="91"/>
      <c r="N886" s="94"/>
    </row>
    <row r="887" spans="1:14" x14ac:dyDescent="0.45">
      <c r="A887" s="98"/>
      <c r="B887" s="101"/>
      <c r="C887" s="70" t="str">
        <f>"PXIe-7820R/DIO" &amp; D887</f>
        <v>PXIe-7820R/DIO121</v>
      </c>
      <c r="D887" s="30">
        <f t="shared" si="240"/>
        <v>121</v>
      </c>
      <c r="E887" s="30" t="str">
        <f t="shared" si="238"/>
        <v>FPGA DI (PWM Meas.)</v>
      </c>
      <c r="F887" s="30" t="str">
        <f t="shared" si="238"/>
        <v>PWM_DC</v>
      </c>
      <c r="G887" s="30" t="str">
        <f t="shared" si="235"/>
        <v>ATE/IO154/PWM_DC</v>
      </c>
      <c r="H887" s="40" t="str">
        <f>Paths!$B$4 &amp; I887 &amp; Paths!$B$10</f>
        <v>Targets/Controller/Custom Devices/FPGA Addon/Scalars/Scalar Inputs/PWM.In.IO154/DC</v>
      </c>
      <c r="I887" s="33" t="str">
        <f>I886</f>
        <v>IO154</v>
      </c>
      <c r="J887" s="104"/>
      <c r="K887" s="104"/>
      <c r="L887" s="107"/>
      <c r="M887" s="92"/>
      <c r="N887" s="95"/>
    </row>
    <row r="888" spans="1:14" x14ac:dyDescent="0.45">
      <c r="A888" s="98"/>
      <c r="B888" s="101"/>
      <c r="C888" s="70" t="str">
        <f>"PXIe-7820R/DIO" &amp; D888</f>
        <v>PXIe-7820R/DIO121</v>
      </c>
      <c r="D888" s="30">
        <f t="shared" si="240"/>
        <v>121</v>
      </c>
      <c r="E888" s="30" t="str">
        <f t="shared" si="238"/>
        <v>PFGA DI (DI State)</v>
      </c>
      <c r="F888" s="30" t="str">
        <f t="shared" si="238"/>
        <v>DI</v>
      </c>
      <c r="G888" s="30" t="str">
        <f t="shared" si="235"/>
        <v>ATE/IO154/DI</v>
      </c>
      <c r="H888" s="90" t="str">
        <f>Paths!$B$3 &amp; I888 &amp; Paths!$B$8</f>
        <v>Targets/Controller/Custom Devices/FPGA Addon/Scalars/Scalar Inputs/DI.IO154/STATE</v>
      </c>
      <c r="I888" s="33" t="str">
        <f>I887</f>
        <v>IO154</v>
      </c>
      <c r="J888" s="104"/>
      <c r="K888" s="104"/>
      <c r="L888" s="107"/>
      <c r="M888" s="92"/>
      <c r="N888" s="95"/>
    </row>
    <row r="889" spans="1:14" x14ac:dyDescent="0.45">
      <c r="A889" s="98"/>
      <c r="B889" s="101"/>
      <c r="C889" s="70" t="str">
        <f>"PXIe-7820R/DIO" &amp; D889</f>
        <v>PXIe-7820R/DIO121</v>
      </c>
      <c r="D889" s="30">
        <f t="shared" si="240"/>
        <v>121</v>
      </c>
      <c r="E889" s="30" t="str">
        <f t="shared" si="238"/>
        <v>FPGA DI (PWM Meas.)</v>
      </c>
      <c r="F889" s="30" t="str">
        <f t="shared" si="238"/>
        <v>PWM_TIMEOUT</v>
      </c>
      <c r="G889" s="30" t="str">
        <f t="shared" si="235"/>
        <v>ATE/IO154/PWM_TIMEOUT</v>
      </c>
      <c r="H889" s="40" t="str">
        <f>Paths!$B$5 &amp; I889 &amp; Paths!$B$11</f>
        <v>Targets/Controller/Custom Devices/FPGA Addon/Scalars/Scalar Outputs/PWM.Set.IO154/TIMEOUT</v>
      </c>
      <c r="I889" s="33" t="str">
        <f>I886</f>
        <v>IO154</v>
      </c>
      <c r="J889" s="104"/>
      <c r="K889" s="104"/>
      <c r="L889" s="107"/>
      <c r="M889" s="92"/>
      <c r="N889" s="95"/>
    </row>
    <row r="890" spans="1:14" x14ac:dyDescent="0.45">
      <c r="A890" s="98"/>
      <c r="B890" s="101"/>
      <c r="C890" s="70" t="str">
        <f>"SLSC-12202-2/P" &amp; ROUNDDOWN(D890/8,0) &amp; "." &amp; MOD(D890,8)</f>
        <v>SLSC-12202-2/P3.1</v>
      </c>
      <c r="D890" s="30">
        <f t="shared" si="240"/>
        <v>25</v>
      </c>
      <c r="E890" s="30" t="str">
        <f t="shared" si="238"/>
        <v>Input</v>
      </c>
      <c r="F890" s="30" t="str">
        <f t="shared" si="238"/>
        <v>None</v>
      </c>
      <c r="G890" s="30" t="str">
        <f t="shared" si="235"/>
        <v>None</v>
      </c>
      <c r="H890" s="36" t="str">
        <f>Paths!$B$18 &amp; "port" &amp; ROUNDDOWN(D890/8,0) &amp; "//line" &amp;MOD(D890,8) &amp;"/Properties/NI.Line.Direction"</f>
        <v>Targets/Controller/Hardware/SLSC/SLSC Chassis/Modules/Slot 7 (SLSC EDS)/Physical Channels/port3//line1/Properties/NI.Line.Direction</v>
      </c>
      <c r="I890" s="33" t="str">
        <f>I886</f>
        <v>IO154</v>
      </c>
      <c r="J890" s="104"/>
      <c r="K890" s="104"/>
      <c r="L890" s="107"/>
      <c r="M890" s="92"/>
      <c r="N890" s="95"/>
    </row>
    <row r="891" spans="1:14" x14ac:dyDescent="0.45">
      <c r="A891" s="98"/>
      <c r="B891" s="101"/>
      <c r="C891" s="70" t="str">
        <f>"PXIe-6375/AI" &amp; D891</f>
        <v>PXIe-6375/AI193</v>
      </c>
      <c r="D891" s="30">
        <f t="shared" si="240"/>
        <v>193</v>
      </c>
      <c r="E891" s="56" t="str">
        <f t="shared" si="238"/>
        <v>Scaled current 0-8 A</v>
      </c>
      <c r="F891" s="30" t="str">
        <f t="shared" si="238"/>
        <v>TBD</v>
      </c>
      <c r="G891" s="30" t="str">
        <f t="shared" si="235"/>
        <v>None</v>
      </c>
      <c r="H891" s="41" t="str">
        <f>Paths!$B$27 &amp; I891 &amp; Paths!$B$29</f>
        <v>Targets/Controller/Calculated Channels/ATE/IO154/AI</v>
      </c>
      <c r="I891" s="33" t="str">
        <f>I886</f>
        <v>IO154</v>
      </c>
      <c r="J891" s="104"/>
      <c r="K891" s="104"/>
      <c r="L891" s="107"/>
      <c r="M891" s="92"/>
      <c r="N891" s="95"/>
    </row>
    <row r="892" spans="1:14" ht="14.65" thickBot="1" x14ac:dyDescent="0.5">
      <c r="A892" s="99"/>
      <c r="B892" s="102"/>
      <c r="C892" s="71" t="str">
        <f>"SLSC-12251-4/Ch" &amp; D892 &amp; "_DUT"</f>
        <v>SLSC-12251-4/Ch9_DUT</v>
      </c>
      <c r="D892" s="31">
        <f t="shared" si="240"/>
        <v>9</v>
      </c>
      <c r="E892" s="31" t="str">
        <f t="shared" si="238"/>
        <v>FIU</v>
      </c>
      <c r="F892" s="31" t="str">
        <f t="shared" si="238"/>
        <v>TBD</v>
      </c>
      <c r="G892" s="31" t="str">
        <f t="shared" si="235"/>
        <v>None</v>
      </c>
      <c r="H892" s="42" t="str">
        <f>Paths!$B$16 &amp; D892</f>
        <v>Targets/Controller/Hardware/SLSC/SLSC Chassis/Modules/Slot 4 (SLSC EDS :: SLSC-12251)/Physical Channels/Channel_9</v>
      </c>
      <c r="I892" s="59" t="str">
        <f>I886</f>
        <v>IO154</v>
      </c>
      <c r="J892" s="105"/>
      <c r="K892" s="105"/>
      <c r="L892" s="108"/>
      <c r="M892" s="93"/>
      <c r="N892" s="96"/>
    </row>
    <row r="893" spans="1:14" ht="15" customHeight="1" x14ac:dyDescent="0.45">
      <c r="A893" s="97">
        <f>A886+1</f>
        <v>155</v>
      </c>
      <c r="B893" s="100" t="str">
        <f>B886</f>
        <v>HIGH LOAD
DI: 0-60 V
AI: 0-60 V
EXT LOAD</v>
      </c>
      <c r="C893" s="69" t="str">
        <f>"PXIe-7820R/DIO" &amp; D893</f>
        <v>PXIe-7820R/DIO122</v>
      </c>
      <c r="D893" s="29">
        <f t="shared" si="240"/>
        <v>122</v>
      </c>
      <c r="E893" s="55" t="str">
        <f t="shared" si="238"/>
        <v>FPGA DI (PWM Meas.)</v>
      </c>
      <c r="F893" s="55" t="str">
        <f t="shared" si="238"/>
        <v>PWM_FR</v>
      </c>
      <c r="G893" s="29" t="str">
        <f t="shared" si="235"/>
        <v>ATE/IO155/PWM_FR</v>
      </c>
      <c r="H893" s="39" t="str">
        <f>Paths!$B$4 &amp; I893 &amp; Paths!$B$9</f>
        <v>Targets/Controller/Custom Devices/FPGA Addon/Scalars/Scalar Inputs/PWM.In.IO155/FREQ</v>
      </c>
      <c r="I893" s="32" t="str">
        <f>"IO" &amp; A893</f>
        <v>IO155</v>
      </c>
      <c r="J893" s="103" t="s">
        <v>6</v>
      </c>
      <c r="K893" s="103" t="s">
        <v>7</v>
      </c>
      <c r="L893" s="106"/>
      <c r="M893" s="91"/>
      <c r="N893" s="94"/>
    </row>
    <row r="894" spans="1:14" x14ac:dyDescent="0.45">
      <c r="A894" s="98"/>
      <c r="B894" s="101"/>
      <c r="C894" s="70" t="str">
        <f>"PXIe-7820R/DIO" &amp; D894</f>
        <v>PXIe-7820R/DIO122</v>
      </c>
      <c r="D894" s="30">
        <f t="shared" si="240"/>
        <v>122</v>
      </c>
      <c r="E894" s="30" t="str">
        <f t="shared" ref="E894:F913" si="241">E887</f>
        <v>FPGA DI (PWM Meas.)</v>
      </c>
      <c r="F894" s="30" t="str">
        <f t="shared" si="241"/>
        <v>PWM_DC</v>
      </c>
      <c r="G894" s="30" t="str">
        <f t="shared" si="235"/>
        <v>ATE/IO155/PWM_DC</v>
      </c>
      <c r="H894" s="40" t="str">
        <f>Paths!$B$4 &amp; I894 &amp; Paths!$B$10</f>
        <v>Targets/Controller/Custom Devices/FPGA Addon/Scalars/Scalar Inputs/PWM.In.IO155/DC</v>
      </c>
      <c r="I894" s="33" t="str">
        <f>I893</f>
        <v>IO155</v>
      </c>
      <c r="J894" s="104"/>
      <c r="K894" s="104"/>
      <c r="L894" s="107"/>
      <c r="M894" s="92"/>
      <c r="N894" s="95"/>
    </row>
    <row r="895" spans="1:14" x14ac:dyDescent="0.45">
      <c r="A895" s="98"/>
      <c r="B895" s="101"/>
      <c r="C895" s="70" t="str">
        <f>"PXIe-7820R/DIO" &amp; D895</f>
        <v>PXIe-7820R/DIO122</v>
      </c>
      <c r="D895" s="30">
        <f t="shared" si="240"/>
        <v>122</v>
      </c>
      <c r="E895" s="30" t="str">
        <f t="shared" si="241"/>
        <v>PFGA DI (DI State)</v>
      </c>
      <c r="F895" s="30" t="str">
        <f t="shared" si="241"/>
        <v>DI</v>
      </c>
      <c r="G895" s="30" t="str">
        <f t="shared" si="235"/>
        <v>ATE/IO155/DI</v>
      </c>
      <c r="H895" s="90" t="str">
        <f>Paths!$B$3 &amp; I895 &amp; Paths!$B$8</f>
        <v>Targets/Controller/Custom Devices/FPGA Addon/Scalars/Scalar Inputs/DI.IO155/STATE</v>
      </c>
      <c r="I895" s="33" t="str">
        <f>I894</f>
        <v>IO155</v>
      </c>
      <c r="J895" s="104"/>
      <c r="K895" s="104"/>
      <c r="L895" s="107"/>
      <c r="M895" s="92"/>
      <c r="N895" s="95"/>
    </row>
    <row r="896" spans="1:14" x14ac:dyDescent="0.45">
      <c r="A896" s="98"/>
      <c r="B896" s="101"/>
      <c r="C896" s="70" t="str">
        <f>"PXIe-7820R/DIO" &amp; D896</f>
        <v>PXIe-7820R/DIO122</v>
      </c>
      <c r="D896" s="30">
        <f t="shared" si="240"/>
        <v>122</v>
      </c>
      <c r="E896" s="30" t="str">
        <f t="shared" si="241"/>
        <v>FPGA DI (PWM Meas.)</v>
      </c>
      <c r="F896" s="30" t="str">
        <f t="shared" si="241"/>
        <v>PWM_TIMEOUT</v>
      </c>
      <c r="G896" s="30" t="str">
        <f t="shared" si="235"/>
        <v>ATE/IO155/PWM_TIMEOUT</v>
      </c>
      <c r="H896" s="40" t="str">
        <f>Paths!$B$5 &amp; I896 &amp; Paths!$B$11</f>
        <v>Targets/Controller/Custom Devices/FPGA Addon/Scalars/Scalar Outputs/PWM.Set.IO155/TIMEOUT</v>
      </c>
      <c r="I896" s="33" t="str">
        <f>I893</f>
        <v>IO155</v>
      </c>
      <c r="J896" s="104"/>
      <c r="K896" s="104"/>
      <c r="L896" s="107"/>
      <c r="M896" s="92"/>
      <c r="N896" s="95"/>
    </row>
    <row r="897" spans="1:14" x14ac:dyDescent="0.45">
      <c r="A897" s="98"/>
      <c r="B897" s="101"/>
      <c r="C897" s="70" t="str">
        <f>"SLSC-12202-2/P" &amp; ROUNDDOWN(D897/8,0) &amp; "." &amp; MOD(D897,8)</f>
        <v>SLSC-12202-2/P3.2</v>
      </c>
      <c r="D897" s="30">
        <f t="shared" si="240"/>
        <v>26</v>
      </c>
      <c r="E897" s="30" t="str">
        <f t="shared" si="241"/>
        <v>Input</v>
      </c>
      <c r="F897" s="30" t="str">
        <f t="shared" si="241"/>
        <v>None</v>
      </c>
      <c r="G897" s="30" t="str">
        <f t="shared" si="235"/>
        <v>None</v>
      </c>
      <c r="H897" s="36" t="str">
        <f>Paths!$B$18 &amp; "port" &amp; ROUNDDOWN(D897/8,0) &amp; "//line" &amp;MOD(D897,8) &amp;"/Properties/NI.Line.Direction"</f>
        <v>Targets/Controller/Hardware/SLSC/SLSC Chassis/Modules/Slot 7 (SLSC EDS)/Physical Channels/port3//line2/Properties/NI.Line.Direction</v>
      </c>
      <c r="I897" s="33" t="str">
        <f>I893</f>
        <v>IO155</v>
      </c>
      <c r="J897" s="104"/>
      <c r="K897" s="104"/>
      <c r="L897" s="107"/>
      <c r="M897" s="92"/>
      <c r="N897" s="95"/>
    </row>
    <row r="898" spans="1:14" x14ac:dyDescent="0.45">
      <c r="A898" s="98"/>
      <c r="B898" s="101"/>
      <c r="C898" s="70" t="str">
        <f>"PXIe-6375/AI" &amp; D898</f>
        <v>PXIe-6375/AI194</v>
      </c>
      <c r="D898" s="30">
        <f t="shared" si="240"/>
        <v>194</v>
      </c>
      <c r="E898" s="56" t="str">
        <f t="shared" si="241"/>
        <v>Scaled current 0-8 A</v>
      </c>
      <c r="F898" s="30" t="str">
        <f t="shared" si="241"/>
        <v>TBD</v>
      </c>
      <c r="G898" s="30" t="str">
        <f t="shared" si="235"/>
        <v>None</v>
      </c>
      <c r="H898" s="41" t="str">
        <f>Paths!$B$27 &amp; I898 &amp; Paths!$B$29</f>
        <v>Targets/Controller/Calculated Channels/ATE/IO155/AI</v>
      </c>
      <c r="I898" s="33" t="str">
        <f>I893</f>
        <v>IO155</v>
      </c>
      <c r="J898" s="104"/>
      <c r="K898" s="104"/>
      <c r="L898" s="107"/>
      <c r="M898" s="92"/>
      <c r="N898" s="95"/>
    </row>
    <row r="899" spans="1:14" ht="14.65" thickBot="1" x14ac:dyDescent="0.5">
      <c r="A899" s="99"/>
      <c r="B899" s="102"/>
      <c r="C899" s="71" t="str">
        <f>"SLSC-12251-4/Ch" &amp; D899 &amp; "_DUT"</f>
        <v>SLSC-12251-4/Ch10_DUT</v>
      </c>
      <c r="D899" s="31">
        <f t="shared" si="240"/>
        <v>10</v>
      </c>
      <c r="E899" s="31" t="str">
        <f t="shared" si="241"/>
        <v>FIU</v>
      </c>
      <c r="F899" s="31" t="str">
        <f t="shared" si="241"/>
        <v>TBD</v>
      </c>
      <c r="G899" s="31" t="str">
        <f t="shared" si="235"/>
        <v>None</v>
      </c>
      <c r="H899" s="42" t="str">
        <f>Paths!$B$16 &amp; D899</f>
        <v>Targets/Controller/Hardware/SLSC/SLSC Chassis/Modules/Slot 4 (SLSC EDS :: SLSC-12251)/Physical Channels/Channel_10</v>
      </c>
      <c r="I899" s="59" t="str">
        <f>I893</f>
        <v>IO155</v>
      </c>
      <c r="J899" s="105"/>
      <c r="K899" s="105"/>
      <c r="L899" s="108"/>
      <c r="M899" s="93"/>
      <c r="N899" s="96"/>
    </row>
    <row r="900" spans="1:14" ht="15" customHeight="1" x14ac:dyDescent="0.45">
      <c r="A900" s="97">
        <f>A893+1</f>
        <v>156</v>
      </c>
      <c r="B900" s="100" t="str">
        <f>B893</f>
        <v>HIGH LOAD
DI: 0-60 V
AI: 0-60 V
EXT LOAD</v>
      </c>
      <c r="C900" s="69" t="str">
        <f>"PXIe-7820R/DIO" &amp; D900</f>
        <v>PXIe-7820R/DIO123</v>
      </c>
      <c r="D900" s="29">
        <f t="shared" si="240"/>
        <v>123</v>
      </c>
      <c r="E900" s="55" t="str">
        <f t="shared" si="241"/>
        <v>FPGA DI (PWM Meas.)</v>
      </c>
      <c r="F900" s="55" t="str">
        <f t="shared" si="241"/>
        <v>PWM_FR</v>
      </c>
      <c r="G900" s="29" t="str">
        <f t="shared" si="235"/>
        <v>ATE/IO156/PWM_FR</v>
      </c>
      <c r="H900" s="39" t="str">
        <f>Paths!$B$4 &amp; I900 &amp; Paths!$B$9</f>
        <v>Targets/Controller/Custom Devices/FPGA Addon/Scalars/Scalar Inputs/PWM.In.IO156/FREQ</v>
      </c>
      <c r="I900" s="32" t="str">
        <f>"IO" &amp; A900</f>
        <v>IO156</v>
      </c>
      <c r="J900" s="103" t="s">
        <v>6</v>
      </c>
      <c r="K900" s="103" t="s">
        <v>7</v>
      </c>
      <c r="L900" s="106"/>
      <c r="M900" s="91"/>
      <c r="N900" s="94"/>
    </row>
    <row r="901" spans="1:14" x14ac:dyDescent="0.45">
      <c r="A901" s="98"/>
      <c r="B901" s="101"/>
      <c r="C901" s="70" t="str">
        <f>"PXIe-7820R/DIO" &amp; D901</f>
        <v>PXIe-7820R/DIO123</v>
      </c>
      <c r="D901" s="30">
        <f t="shared" si="240"/>
        <v>123</v>
      </c>
      <c r="E901" s="30" t="str">
        <f t="shared" si="241"/>
        <v>FPGA DI (PWM Meas.)</v>
      </c>
      <c r="F901" s="30" t="str">
        <f t="shared" si="241"/>
        <v>PWM_DC</v>
      </c>
      <c r="G901" s="30" t="str">
        <f t="shared" si="235"/>
        <v>ATE/IO156/PWM_DC</v>
      </c>
      <c r="H901" s="40" t="str">
        <f>Paths!$B$4 &amp; I901 &amp; Paths!$B$10</f>
        <v>Targets/Controller/Custom Devices/FPGA Addon/Scalars/Scalar Inputs/PWM.In.IO156/DC</v>
      </c>
      <c r="I901" s="33" t="str">
        <f>I900</f>
        <v>IO156</v>
      </c>
      <c r="J901" s="104"/>
      <c r="K901" s="104"/>
      <c r="L901" s="107"/>
      <c r="M901" s="92"/>
      <c r="N901" s="95"/>
    </row>
    <row r="902" spans="1:14" x14ac:dyDescent="0.45">
      <c r="A902" s="98"/>
      <c r="B902" s="101"/>
      <c r="C902" s="70" t="str">
        <f>"PXIe-7820R/DIO" &amp; D902</f>
        <v>PXIe-7820R/DIO123</v>
      </c>
      <c r="D902" s="30">
        <f t="shared" si="240"/>
        <v>123</v>
      </c>
      <c r="E902" s="30" t="str">
        <f t="shared" si="241"/>
        <v>PFGA DI (DI State)</v>
      </c>
      <c r="F902" s="30" t="str">
        <f t="shared" si="241"/>
        <v>DI</v>
      </c>
      <c r="G902" s="30" t="str">
        <f t="shared" si="235"/>
        <v>ATE/IO156/DI</v>
      </c>
      <c r="H902" s="90" t="str">
        <f>Paths!$B$3 &amp; I902 &amp; Paths!$B$8</f>
        <v>Targets/Controller/Custom Devices/FPGA Addon/Scalars/Scalar Inputs/DI.IO156/STATE</v>
      </c>
      <c r="I902" s="33" t="str">
        <f>I901</f>
        <v>IO156</v>
      </c>
      <c r="J902" s="104"/>
      <c r="K902" s="104"/>
      <c r="L902" s="107"/>
      <c r="M902" s="92"/>
      <c r="N902" s="95"/>
    </row>
    <row r="903" spans="1:14" x14ac:dyDescent="0.45">
      <c r="A903" s="98"/>
      <c r="B903" s="101"/>
      <c r="C903" s="70" t="str">
        <f>"PXIe-7820R/DIO" &amp; D903</f>
        <v>PXIe-7820R/DIO123</v>
      </c>
      <c r="D903" s="30">
        <f t="shared" si="240"/>
        <v>123</v>
      </c>
      <c r="E903" s="30" t="str">
        <f t="shared" si="241"/>
        <v>FPGA DI (PWM Meas.)</v>
      </c>
      <c r="F903" s="30" t="str">
        <f t="shared" si="241"/>
        <v>PWM_TIMEOUT</v>
      </c>
      <c r="G903" s="30" t="str">
        <f t="shared" si="235"/>
        <v>ATE/IO156/PWM_TIMEOUT</v>
      </c>
      <c r="H903" s="40" t="str">
        <f>Paths!$B$5 &amp; I903 &amp; Paths!$B$11</f>
        <v>Targets/Controller/Custom Devices/FPGA Addon/Scalars/Scalar Outputs/PWM.Set.IO156/TIMEOUT</v>
      </c>
      <c r="I903" s="33" t="str">
        <f>I900</f>
        <v>IO156</v>
      </c>
      <c r="J903" s="104"/>
      <c r="K903" s="104"/>
      <c r="L903" s="107"/>
      <c r="M903" s="92"/>
      <c r="N903" s="95"/>
    </row>
    <row r="904" spans="1:14" x14ac:dyDescent="0.45">
      <c r="A904" s="98"/>
      <c r="B904" s="101"/>
      <c r="C904" s="70" t="str">
        <f>"SLSC-12202-2/P" &amp; ROUNDDOWN(D904/8,0) &amp; "." &amp; MOD(D904,8)</f>
        <v>SLSC-12202-2/P3.3</v>
      </c>
      <c r="D904" s="30">
        <f t="shared" si="240"/>
        <v>27</v>
      </c>
      <c r="E904" s="30" t="str">
        <f t="shared" si="241"/>
        <v>Input</v>
      </c>
      <c r="F904" s="30" t="str">
        <f t="shared" si="241"/>
        <v>None</v>
      </c>
      <c r="G904" s="30" t="str">
        <f t="shared" si="235"/>
        <v>None</v>
      </c>
      <c r="H904" s="36" t="str">
        <f>Paths!$B$18 &amp; "port" &amp; ROUNDDOWN(D904/8,0) &amp; "//line" &amp;MOD(D904,8) &amp;"/Properties/NI.Line.Direction"</f>
        <v>Targets/Controller/Hardware/SLSC/SLSC Chassis/Modules/Slot 7 (SLSC EDS)/Physical Channels/port3//line3/Properties/NI.Line.Direction</v>
      </c>
      <c r="I904" s="33" t="str">
        <f>I900</f>
        <v>IO156</v>
      </c>
      <c r="J904" s="104"/>
      <c r="K904" s="104"/>
      <c r="L904" s="107"/>
      <c r="M904" s="92"/>
      <c r="N904" s="95"/>
    </row>
    <row r="905" spans="1:14" x14ac:dyDescent="0.45">
      <c r="A905" s="98"/>
      <c r="B905" s="101"/>
      <c r="C905" s="70" t="str">
        <f>"PXIe-6375/AI" &amp; D905</f>
        <v>PXIe-6375/AI195</v>
      </c>
      <c r="D905" s="30">
        <f t="shared" si="240"/>
        <v>195</v>
      </c>
      <c r="E905" s="56" t="str">
        <f t="shared" si="241"/>
        <v>Scaled current 0-8 A</v>
      </c>
      <c r="F905" s="30" t="str">
        <f t="shared" si="241"/>
        <v>TBD</v>
      </c>
      <c r="G905" s="30" t="str">
        <f t="shared" si="235"/>
        <v>None</v>
      </c>
      <c r="H905" s="41" t="str">
        <f>Paths!$B$27 &amp; I905 &amp; Paths!$B$29</f>
        <v>Targets/Controller/Calculated Channels/ATE/IO156/AI</v>
      </c>
      <c r="I905" s="33" t="str">
        <f>I900</f>
        <v>IO156</v>
      </c>
      <c r="J905" s="104"/>
      <c r="K905" s="104"/>
      <c r="L905" s="107"/>
      <c r="M905" s="92"/>
      <c r="N905" s="95"/>
    </row>
    <row r="906" spans="1:14" ht="14.65" thickBot="1" x14ac:dyDescent="0.5">
      <c r="A906" s="99"/>
      <c r="B906" s="102"/>
      <c r="C906" s="71" t="str">
        <f>"SLSC-12251-4/Ch" &amp; D906 &amp; "_DUT"</f>
        <v>SLSC-12251-4/Ch11_DUT</v>
      </c>
      <c r="D906" s="31">
        <f t="shared" si="240"/>
        <v>11</v>
      </c>
      <c r="E906" s="31" t="str">
        <f t="shared" si="241"/>
        <v>FIU</v>
      </c>
      <c r="F906" s="31" t="str">
        <f t="shared" si="241"/>
        <v>TBD</v>
      </c>
      <c r="G906" s="31" t="str">
        <f t="shared" si="235"/>
        <v>None</v>
      </c>
      <c r="H906" s="42" t="str">
        <f>Paths!$B$16 &amp; D906</f>
        <v>Targets/Controller/Hardware/SLSC/SLSC Chassis/Modules/Slot 4 (SLSC EDS :: SLSC-12251)/Physical Channels/Channel_11</v>
      </c>
      <c r="I906" s="59" t="str">
        <f>I900</f>
        <v>IO156</v>
      </c>
      <c r="J906" s="105"/>
      <c r="K906" s="105"/>
      <c r="L906" s="108"/>
      <c r="M906" s="93"/>
      <c r="N906" s="96"/>
    </row>
    <row r="907" spans="1:14" ht="15" customHeight="1" x14ac:dyDescent="0.45">
      <c r="A907" s="97">
        <f>A900+1</f>
        <v>157</v>
      </c>
      <c r="B907" s="100" t="str">
        <f>B900</f>
        <v>HIGH LOAD
DI: 0-60 V
AI: 0-60 V
EXT LOAD</v>
      </c>
      <c r="C907" s="69" t="str">
        <f>"PXIe-7820R/DIO" &amp; D907</f>
        <v>PXIe-7820R/DIO124</v>
      </c>
      <c r="D907" s="29">
        <f t="shared" si="240"/>
        <v>124</v>
      </c>
      <c r="E907" s="55" t="str">
        <f t="shared" si="241"/>
        <v>FPGA DI (PWM Meas.)</v>
      </c>
      <c r="F907" s="55" t="str">
        <f t="shared" si="241"/>
        <v>PWM_FR</v>
      </c>
      <c r="G907" s="29" t="str">
        <f t="shared" si="235"/>
        <v>ATE/IO157/PWM_FR</v>
      </c>
      <c r="H907" s="39" t="str">
        <f>Paths!$B$4 &amp; I907 &amp; Paths!$B$9</f>
        <v>Targets/Controller/Custom Devices/FPGA Addon/Scalars/Scalar Inputs/PWM.In.IO157/FREQ</v>
      </c>
      <c r="I907" s="32" t="str">
        <f>"IO" &amp; A907</f>
        <v>IO157</v>
      </c>
      <c r="J907" s="103" t="s">
        <v>6</v>
      </c>
      <c r="K907" s="103" t="s">
        <v>7</v>
      </c>
      <c r="L907" s="106"/>
      <c r="M907" s="91"/>
      <c r="N907" s="94"/>
    </row>
    <row r="908" spans="1:14" x14ac:dyDescent="0.45">
      <c r="A908" s="98"/>
      <c r="B908" s="101"/>
      <c r="C908" s="70" t="str">
        <f>"PXIe-7820R/DIO" &amp; D908</f>
        <v>PXIe-7820R/DIO124</v>
      </c>
      <c r="D908" s="30">
        <f t="shared" si="240"/>
        <v>124</v>
      </c>
      <c r="E908" s="30" t="str">
        <f t="shared" si="241"/>
        <v>FPGA DI (PWM Meas.)</v>
      </c>
      <c r="F908" s="30" t="str">
        <f t="shared" si="241"/>
        <v>PWM_DC</v>
      </c>
      <c r="G908" s="30" t="str">
        <f t="shared" si="235"/>
        <v>ATE/IO157/PWM_DC</v>
      </c>
      <c r="H908" s="40" t="str">
        <f>Paths!$B$4 &amp; I908 &amp; Paths!$B$10</f>
        <v>Targets/Controller/Custom Devices/FPGA Addon/Scalars/Scalar Inputs/PWM.In.IO157/DC</v>
      </c>
      <c r="I908" s="33" t="str">
        <f>I907</f>
        <v>IO157</v>
      </c>
      <c r="J908" s="104"/>
      <c r="K908" s="104"/>
      <c r="L908" s="107"/>
      <c r="M908" s="92"/>
      <c r="N908" s="95"/>
    </row>
    <row r="909" spans="1:14" x14ac:dyDescent="0.45">
      <c r="A909" s="98"/>
      <c r="B909" s="101"/>
      <c r="C909" s="70" t="str">
        <f>"PXIe-7820R/DIO" &amp; D909</f>
        <v>PXIe-7820R/DIO124</v>
      </c>
      <c r="D909" s="30">
        <f t="shared" si="240"/>
        <v>124</v>
      </c>
      <c r="E909" s="30" t="str">
        <f t="shared" si="241"/>
        <v>PFGA DI (DI State)</v>
      </c>
      <c r="F909" s="30" t="str">
        <f t="shared" si="241"/>
        <v>DI</v>
      </c>
      <c r="G909" s="30" t="str">
        <f t="shared" si="235"/>
        <v>ATE/IO157/DI</v>
      </c>
      <c r="H909" s="90" t="str">
        <f>Paths!$B$3 &amp; I909 &amp; Paths!$B$8</f>
        <v>Targets/Controller/Custom Devices/FPGA Addon/Scalars/Scalar Inputs/DI.IO157/STATE</v>
      </c>
      <c r="I909" s="33" t="str">
        <f>I908</f>
        <v>IO157</v>
      </c>
      <c r="J909" s="104"/>
      <c r="K909" s="104"/>
      <c r="L909" s="107"/>
      <c r="M909" s="92"/>
      <c r="N909" s="95"/>
    </row>
    <row r="910" spans="1:14" x14ac:dyDescent="0.45">
      <c r="A910" s="98"/>
      <c r="B910" s="101"/>
      <c r="C910" s="70" t="str">
        <f>"PXIe-7820R/DIO" &amp; D910</f>
        <v>PXIe-7820R/DIO124</v>
      </c>
      <c r="D910" s="30">
        <f t="shared" si="240"/>
        <v>124</v>
      </c>
      <c r="E910" s="30" t="str">
        <f t="shared" si="241"/>
        <v>FPGA DI (PWM Meas.)</v>
      </c>
      <c r="F910" s="30" t="str">
        <f t="shared" si="241"/>
        <v>PWM_TIMEOUT</v>
      </c>
      <c r="G910" s="30" t="str">
        <f t="shared" si="235"/>
        <v>ATE/IO157/PWM_TIMEOUT</v>
      </c>
      <c r="H910" s="40" t="str">
        <f>Paths!$B$5 &amp; I910 &amp; Paths!$B$11</f>
        <v>Targets/Controller/Custom Devices/FPGA Addon/Scalars/Scalar Outputs/PWM.Set.IO157/TIMEOUT</v>
      </c>
      <c r="I910" s="33" t="str">
        <f>I907</f>
        <v>IO157</v>
      </c>
      <c r="J910" s="104"/>
      <c r="K910" s="104"/>
      <c r="L910" s="107"/>
      <c r="M910" s="92"/>
      <c r="N910" s="95"/>
    </row>
    <row r="911" spans="1:14" x14ac:dyDescent="0.45">
      <c r="A911" s="98"/>
      <c r="B911" s="101"/>
      <c r="C911" s="70" t="str">
        <f>"SLSC-12202-2/P" &amp; ROUNDDOWN(D911/8,0) &amp; "." &amp; MOD(D911,8)</f>
        <v>SLSC-12202-2/P3.4</v>
      </c>
      <c r="D911" s="30">
        <f t="shared" si="240"/>
        <v>28</v>
      </c>
      <c r="E911" s="30" t="str">
        <f t="shared" si="241"/>
        <v>Input</v>
      </c>
      <c r="F911" s="30" t="str">
        <f t="shared" si="241"/>
        <v>None</v>
      </c>
      <c r="G911" s="30" t="str">
        <f t="shared" si="235"/>
        <v>None</v>
      </c>
      <c r="H911" s="36" t="str">
        <f>Paths!$B$18 &amp; "port" &amp; ROUNDDOWN(D911/8,0) &amp; "//line" &amp;MOD(D911,8) &amp;"/Properties/NI.Line.Direction"</f>
        <v>Targets/Controller/Hardware/SLSC/SLSC Chassis/Modules/Slot 7 (SLSC EDS)/Physical Channels/port3//line4/Properties/NI.Line.Direction</v>
      </c>
      <c r="I911" s="33" t="str">
        <f>I907</f>
        <v>IO157</v>
      </c>
      <c r="J911" s="104"/>
      <c r="K911" s="104"/>
      <c r="L911" s="107"/>
      <c r="M911" s="92"/>
      <c r="N911" s="95"/>
    </row>
    <row r="912" spans="1:14" x14ac:dyDescent="0.45">
      <c r="A912" s="98"/>
      <c r="B912" s="101"/>
      <c r="C912" s="70" t="str">
        <f>"PXIe-6375/AI" &amp; D912</f>
        <v>PXIe-6375/AI196</v>
      </c>
      <c r="D912" s="30">
        <f t="shared" si="240"/>
        <v>196</v>
      </c>
      <c r="E912" s="56" t="str">
        <f t="shared" si="241"/>
        <v>Scaled current 0-8 A</v>
      </c>
      <c r="F912" s="30" t="str">
        <f t="shared" si="241"/>
        <v>TBD</v>
      </c>
      <c r="G912" s="30" t="str">
        <f t="shared" si="235"/>
        <v>None</v>
      </c>
      <c r="H912" s="41" t="str">
        <f>Paths!$B$27 &amp; I912 &amp; Paths!$B$29</f>
        <v>Targets/Controller/Calculated Channels/ATE/IO157/AI</v>
      </c>
      <c r="I912" s="33" t="str">
        <f>I907</f>
        <v>IO157</v>
      </c>
      <c r="J912" s="104"/>
      <c r="K912" s="104"/>
      <c r="L912" s="107"/>
      <c r="M912" s="92"/>
      <c r="N912" s="95"/>
    </row>
    <row r="913" spans="1:14" ht="14.65" thickBot="1" x14ac:dyDescent="0.5">
      <c r="A913" s="99"/>
      <c r="B913" s="102"/>
      <c r="C913" s="71" t="str">
        <f>"SLSC-12251-4/Ch" &amp; D913 &amp; "_DUT"</f>
        <v>SLSC-12251-4/Ch12_DUT</v>
      </c>
      <c r="D913" s="31">
        <f t="shared" si="240"/>
        <v>12</v>
      </c>
      <c r="E913" s="31" t="str">
        <f t="shared" si="241"/>
        <v>FIU</v>
      </c>
      <c r="F913" s="31" t="str">
        <f t="shared" si="241"/>
        <v>TBD</v>
      </c>
      <c r="G913" s="31" t="str">
        <f t="shared" si="235"/>
        <v>None</v>
      </c>
      <c r="H913" s="42" t="str">
        <f>Paths!$B$16 &amp; D913</f>
        <v>Targets/Controller/Hardware/SLSC/SLSC Chassis/Modules/Slot 4 (SLSC EDS :: SLSC-12251)/Physical Channels/Channel_12</v>
      </c>
      <c r="I913" s="59" t="str">
        <f>I907</f>
        <v>IO157</v>
      </c>
      <c r="J913" s="105"/>
      <c r="K913" s="105"/>
      <c r="L913" s="108"/>
      <c r="M913" s="93"/>
      <c r="N913" s="96"/>
    </row>
    <row r="914" spans="1:14" ht="15" customHeight="1" x14ac:dyDescent="0.45">
      <c r="A914" s="97">
        <f>A907+1</f>
        <v>158</v>
      </c>
      <c r="B914" s="100" t="str">
        <f>B907</f>
        <v>HIGH LOAD
DI: 0-60 V
AI: 0-60 V
EXT LOAD</v>
      </c>
      <c r="C914" s="69" t="str">
        <f>"PXIe-7820R/DIO" &amp; D914</f>
        <v>PXIe-7820R/DIO125</v>
      </c>
      <c r="D914" s="29">
        <f t="shared" si="240"/>
        <v>125</v>
      </c>
      <c r="E914" s="55" t="str">
        <f t="shared" ref="E914:F933" si="242">E907</f>
        <v>FPGA DI (PWM Meas.)</v>
      </c>
      <c r="F914" s="55" t="str">
        <f t="shared" si="242"/>
        <v>PWM_FR</v>
      </c>
      <c r="G914" s="29" t="str">
        <f t="shared" si="235"/>
        <v>ATE/IO158/PWM_FR</v>
      </c>
      <c r="H914" s="39" t="str">
        <f>Paths!$B$4 &amp; I914 &amp; Paths!$B$9</f>
        <v>Targets/Controller/Custom Devices/FPGA Addon/Scalars/Scalar Inputs/PWM.In.IO158/FREQ</v>
      </c>
      <c r="I914" s="32" t="str">
        <f>"IO" &amp; A914</f>
        <v>IO158</v>
      </c>
      <c r="J914" s="103" t="s">
        <v>6</v>
      </c>
      <c r="K914" s="103" t="s">
        <v>7</v>
      </c>
      <c r="L914" s="106"/>
      <c r="M914" s="91"/>
      <c r="N914" s="94"/>
    </row>
    <row r="915" spans="1:14" x14ac:dyDescent="0.45">
      <c r="A915" s="98"/>
      <c r="B915" s="101"/>
      <c r="C915" s="70" t="str">
        <f>"PXIe-7820R/DIO" &amp; D915</f>
        <v>PXIe-7820R/DIO125</v>
      </c>
      <c r="D915" s="30">
        <f t="shared" si="240"/>
        <v>125</v>
      </c>
      <c r="E915" s="30" t="str">
        <f t="shared" si="242"/>
        <v>FPGA DI (PWM Meas.)</v>
      </c>
      <c r="F915" s="30" t="str">
        <f t="shared" si="242"/>
        <v>PWM_DC</v>
      </c>
      <c r="G915" s="30" t="str">
        <f t="shared" si="235"/>
        <v>ATE/IO158/PWM_DC</v>
      </c>
      <c r="H915" s="40" t="str">
        <f>Paths!$B$4 &amp; I915 &amp; Paths!$B$10</f>
        <v>Targets/Controller/Custom Devices/FPGA Addon/Scalars/Scalar Inputs/PWM.In.IO158/DC</v>
      </c>
      <c r="I915" s="33" t="str">
        <f>I914</f>
        <v>IO158</v>
      </c>
      <c r="J915" s="104"/>
      <c r="K915" s="104"/>
      <c r="L915" s="107"/>
      <c r="M915" s="92"/>
      <c r="N915" s="95"/>
    </row>
    <row r="916" spans="1:14" x14ac:dyDescent="0.45">
      <c r="A916" s="98"/>
      <c r="B916" s="101"/>
      <c r="C916" s="70" t="str">
        <f>"PXIe-7820R/DIO" &amp; D916</f>
        <v>PXIe-7820R/DIO125</v>
      </c>
      <c r="D916" s="30">
        <f t="shared" si="240"/>
        <v>125</v>
      </c>
      <c r="E916" s="30" t="str">
        <f t="shared" si="242"/>
        <v>PFGA DI (DI State)</v>
      </c>
      <c r="F916" s="30" t="str">
        <f t="shared" si="242"/>
        <v>DI</v>
      </c>
      <c r="G916" s="30" t="str">
        <f t="shared" si="235"/>
        <v>ATE/IO158/DI</v>
      </c>
      <c r="H916" s="90" t="str">
        <f>Paths!$B$3 &amp; I916 &amp; Paths!$B$8</f>
        <v>Targets/Controller/Custom Devices/FPGA Addon/Scalars/Scalar Inputs/DI.IO158/STATE</v>
      </c>
      <c r="I916" s="33" t="str">
        <f>I915</f>
        <v>IO158</v>
      </c>
      <c r="J916" s="104"/>
      <c r="K916" s="104"/>
      <c r="L916" s="107"/>
      <c r="M916" s="92"/>
      <c r="N916" s="95"/>
    </row>
    <row r="917" spans="1:14" x14ac:dyDescent="0.45">
      <c r="A917" s="98"/>
      <c r="B917" s="101"/>
      <c r="C917" s="70" t="str">
        <f>"PXIe-7820R/DIO" &amp; D917</f>
        <v>PXIe-7820R/DIO125</v>
      </c>
      <c r="D917" s="30">
        <f t="shared" ref="D917:D934" si="243">D910+1</f>
        <v>125</v>
      </c>
      <c r="E917" s="30" t="str">
        <f t="shared" si="242"/>
        <v>FPGA DI (PWM Meas.)</v>
      </c>
      <c r="F917" s="30" t="str">
        <f t="shared" si="242"/>
        <v>PWM_TIMEOUT</v>
      </c>
      <c r="G917" s="30" t="str">
        <f t="shared" si="235"/>
        <v>ATE/IO158/PWM_TIMEOUT</v>
      </c>
      <c r="H917" s="40" t="str">
        <f>Paths!$B$5 &amp; I917 &amp; Paths!$B$11</f>
        <v>Targets/Controller/Custom Devices/FPGA Addon/Scalars/Scalar Outputs/PWM.Set.IO158/TIMEOUT</v>
      </c>
      <c r="I917" s="33" t="str">
        <f>I914</f>
        <v>IO158</v>
      </c>
      <c r="J917" s="104"/>
      <c r="K917" s="104"/>
      <c r="L917" s="107"/>
      <c r="M917" s="92"/>
      <c r="N917" s="95"/>
    </row>
    <row r="918" spans="1:14" x14ac:dyDescent="0.45">
      <c r="A918" s="98"/>
      <c r="B918" s="101"/>
      <c r="C918" s="70" t="str">
        <f>"SLSC-12202-2/P" &amp; ROUNDDOWN(D918/8,0) &amp; "." &amp; MOD(D918,8)</f>
        <v>SLSC-12202-2/P3.5</v>
      </c>
      <c r="D918" s="30">
        <f t="shared" si="243"/>
        <v>29</v>
      </c>
      <c r="E918" s="30" t="str">
        <f t="shared" si="242"/>
        <v>Input</v>
      </c>
      <c r="F918" s="30" t="str">
        <f t="shared" si="242"/>
        <v>None</v>
      </c>
      <c r="G918" s="30" t="str">
        <f t="shared" si="235"/>
        <v>None</v>
      </c>
      <c r="H918" s="36" t="str">
        <f>Paths!$B$18 &amp; "port" &amp; ROUNDDOWN(D918/8,0) &amp; "//line" &amp;MOD(D918,8) &amp;"/Properties/NI.Line.Direction"</f>
        <v>Targets/Controller/Hardware/SLSC/SLSC Chassis/Modules/Slot 7 (SLSC EDS)/Physical Channels/port3//line5/Properties/NI.Line.Direction</v>
      </c>
      <c r="I918" s="33" t="str">
        <f>I914</f>
        <v>IO158</v>
      </c>
      <c r="J918" s="104"/>
      <c r="K918" s="104"/>
      <c r="L918" s="107"/>
      <c r="M918" s="92"/>
      <c r="N918" s="95"/>
    </row>
    <row r="919" spans="1:14" x14ac:dyDescent="0.45">
      <c r="A919" s="98"/>
      <c r="B919" s="101"/>
      <c r="C919" s="70" t="str">
        <f>"PXIe-6375/AI" &amp; D919</f>
        <v>PXIe-6375/AI197</v>
      </c>
      <c r="D919" s="30">
        <f t="shared" si="243"/>
        <v>197</v>
      </c>
      <c r="E919" s="56" t="str">
        <f t="shared" si="242"/>
        <v>Scaled current 0-8 A</v>
      </c>
      <c r="F919" s="30" t="str">
        <f t="shared" si="242"/>
        <v>TBD</v>
      </c>
      <c r="G919" s="30" t="str">
        <f t="shared" si="235"/>
        <v>None</v>
      </c>
      <c r="H919" s="41" t="str">
        <f>Paths!$B$27 &amp; I919 &amp; Paths!$B$29</f>
        <v>Targets/Controller/Calculated Channels/ATE/IO158/AI</v>
      </c>
      <c r="I919" s="33" t="str">
        <f>I914</f>
        <v>IO158</v>
      </c>
      <c r="J919" s="104"/>
      <c r="K919" s="104"/>
      <c r="L919" s="107"/>
      <c r="M919" s="92"/>
      <c r="N919" s="95"/>
    </row>
    <row r="920" spans="1:14" ht="14.65" thickBot="1" x14ac:dyDescent="0.5">
      <c r="A920" s="99"/>
      <c r="B920" s="102"/>
      <c r="C920" s="71" t="str">
        <f>"SLSC-12251-4/Ch" &amp; D920 &amp; "_DUT"</f>
        <v>SLSC-12251-4/Ch13_DUT</v>
      </c>
      <c r="D920" s="31">
        <f t="shared" si="243"/>
        <v>13</v>
      </c>
      <c r="E920" s="31" t="str">
        <f t="shared" si="242"/>
        <v>FIU</v>
      </c>
      <c r="F920" s="31" t="str">
        <f t="shared" si="242"/>
        <v>TBD</v>
      </c>
      <c r="G920" s="31" t="str">
        <f t="shared" si="235"/>
        <v>None</v>
      </c>
      <c r="H920" s="42" t="str">
        <f>Paths!$B$16 &amp; D920</f>
        <v>Targets/Controller/Hardware/SLSC/SLSC Chassis/Modules/Slot 4 (SLSC EDS :: SLSC-12251)/Physical Channels/Channel_13</v>
      </c>
      <c r="I920" s="59" t="str">
        <f>I914</f>
        <v>IO158</v>
      </c>
      <c r="J920" s="105"/>
      <c r="K920" s="105"/>
      <c r="L920" s="108"/>
      <c r="M920" s="93"/>
      <c r="N920" s="96"/>
    </row>
    <row r="921" spans="1:14" ht="15" customHeight="1" x14ac:dyDescent="0.45">
      <c r="A921" s="97">
        <f>A914+1</f>
        <v>159</v>
      </c>
      <c r="B921" s="100" t="str">
        <f>B914</f>
        <v>HIGH LOAD
DI: 0-60 V
AI: 0-60 V
EXT LOAD</v>
      </c>
      <c r="C921" s="69" t="str">
        <f>"PXIe-7820R/DIO" &amp; D921</f>
        <v>PXIe-7820R/DIO126</v>
      </c>
      <c r="D921" s="29">
        <f t="shared" si="243"/>
        <v>126</v>
      </c>
      <c r="E921" s="55" t="str">
        <f t="shared" si="242"/>
        <v>FPGA DI (PWM Meas.)</v>
      </c>
      <c r="F921" s="55" t="str">
        <f t="shared" si="242"/>
        <v>PWM_FR</v>
      </c>
      <c r="G921" s="29" t="str">
        <f t="shared" si="235"/>
        <v>ATE/IO159/PWM_FR</v>
      </c>
      <c r="H921" s="39" t="str">
        <f>Paths!$B$4 &amp; I921 &amp; Paths!$B$9</f>
        <v>Targets/Controller/Custom Devices/FPGA Addon/Scalars/Scalar Inputs/PWM.In.IO159/FREQ</v>
      </c>
      <c r="I921" s="32" t="str">
        <f>"IO" &amp; A921</f>
        <v>IO159</v>
      </c>
      <c r="J921" s="103" t="s">
        <v>6</v>
      </c>
      <c r="K921" s="103" t="s">
        <v>7</v>
      </c>
      <c r="L921" s="106"/>
      <c r="M921" s="91"/>
      <c r="N921" s="94"/>
    </row>
    <row r="922" spans="1:14" x14ac:dyDescent="0.45">
      <c r="A922" s="98"/>
      <c r="B922" s="101"/>
      <c r="C922" s="70" t="str">
        <f>"PXIe-7820R/DIO" &amp; D922</f>
        <v>PXIe-7820R/DIO126</v>
      </c>
      <c r="D922" s="30">
        <f t="shared" si="243"/>
        <v>126</v>
      </c>
      <c r="E922" s="30" t="str">
        <f t="shared" si="242"/>
        <v>FPGA DI (PWM Meas.)</v>
      </c>
      <c r="F922" s="30" t="str">
        <f t="shared" si="242"/>
        <v>PWM_DC</v>
      </c>
      <c r="G922" s="30" t="str">
        <f t="shared" si="235"/>
        <v>ATE/IO159/PWM_DC</v>
      </c>
      <c r="H922" s="40" t="str">
        <f>Paths!$B$4 &amp; I922 &amp; Paths!$B$10</f>
        <v>Targets/Controller/Custom Devices/FPGA Addon/Scalars/Scalar Inputs/PWM.In.IO159/DC</v>
      </c>
      <c r="I922" s="33" t="str">
        <f>I921</f>
        <v>IO159</v>
      </c>
      <c r="J922" s="104"/>
      <c r="K922" s="104"/>
      <c r="L922" s="107"/>
      <c r="M922" s="92"/>
      <c r="N922" s="95"/>
    </row>
    <row r="923" spans="1:14" x14ac:dyDescent="0.45">
      <c r="A923" s="98"/>
      <c r="B923" s="101"/>
      <c r="C923" s="70" t="str">
        <f>"PXIe-7820R/DIO" &amp; D923</f>
        <v>PXIe-7820R/DIO126</v>
      </c>
      <c r="D923" s="30">
        <f t="shared" si="243"/>
        <v>126</v>
      </c>
      <c r="E923" s="30" t="str">
        <f t="shared" si="242"/>
        <v>PFGA DI (DI State)</v>
      </c>
      <c r="F923" s="30" t="str">
        <f t="shared" si="242"/>
        <v>DI</v>
      </c>
      <c r="G923" s="30" t="str">
        <f t="shared" si="235"/>
        <v>ATE/IO159/DI</v>
      </c>
      <c r="H923" s="90" t="str">
        <f>Paths!$B$3 &amp; I923 &amp; Paths!$B$8</f>
        <v>Targets/Controller/Custom Devices/FPGA Addon/Scalars/Scalar Inputs/DI.IO159/STATE</v>
      </c>
      <c r="I923" s="33" t="str">
        <f>I922</f>
        <v>IO159</v>
      </c>
      <c r="J923" s="104"/>
      <c r="K923" s="104"/>
      <c r="L923" s="107"/>
      <c r="M923" s="92"/>
      <c r="N923" s="95"/>
    </row>
    <row r="924" spans="1:14" x14ac:dyDescent="0.45">
      <c r="A924" s="98"/>
      <c r="B924" s="101"/>
      <c r="C924" s="70" t="str">
        <f>"PXIe-7820R/DIO" &amp; D924</f>
        <v>PXIe-7820R/DIO126</v>
      </c>
      <c r="D924" s="30">
        <f t="shared" si="243"/>
        <v>126</v>
      </c>
      <c r="E924" s="30" t="str">
        <f t="shared" si="242"/>
        <v>FPGA DI (PWM Meas.)</v>
      </c>
      <c r="F924" s="30" t="str">
        <f t="shared" si="242"/>
        <v>PWM_TIMEOUT</v>
      </c>
      <c r="G924" s="30" t="str">
        <f t="shared" si="235"/>
        <v>ATE/IO159/PWM_TIMEOUT</v>
      </c>
      <c r="H924" s="40" t="str">
        <f>Paths!$B$5 &amp; I924 &amp; Paths!$B$11</f>
        <v>Targets/Controller/Custom Devices/FPGA Addon/Scalars/Scalar Outputs/PWM.Set.IO159/TIMEOUT</v>
      </c>
      <c r="I924" s="33" t="str">
        <f>I921</f>
        <v>IO159</v>
      </c>
      <c r="J924" s="104"/>
      <c r="K924" s="104"/>
      <c r="L924" s="107"/>
      <c r="M924" s="92"/>
      <c r="N924" s="95"/>
    </row>
    <row r="925" spans="1:14" x14ac:dyDescent="0.45">
      <c r="A925" s="98"/>
      <c r="B925" s="101"/>
      <c r="C925" s="70" t="str">
        <f>"SLSC-12202-2/P" &amp; ROUNDDOWN(D925/8,0) &amp; "." &amp; MOD(D925,8)</f>
        <v>SLSC-12202-2/P3.6</v>
      </c>
      <c r="D925" s="30">
        <f t="shared" si="243"/>
        <v>30</v>
      </c>
      <c r="E925" s="30" t="str">
        <f t="shared" si="242"/>
        <v>Input</v>
      </c>
      <c r="F925" s="30" t="str">
        <f t="shared" si="242"/>
        <v>None</v>
      </c>
      <c r="G925" s="30" t="str">
        <f t="shared" si="235"/>
        <v>None</v>
      </c>
      <c r="H925" s="36" t="str">
        <f>Paths!$B$18 &amp; "port" &amp; ROUNDDOWN(D925/8,0) &amp; "//line" &amp;MOD(D925,8) &amp;"/Properties/NI.Line.Direction"</f>
        <v>Targets/Controller/Hardware/SLSC/SLSC Chassis/Modules/Slot 7 (SLSC EDS)/Physical Channels/port3//line6/Properties/NI.Line.Direction</v>
      </c>
      <c r="I925" s="33" t="str">
        <f>I921</f>
        <v>IO159</v>
      </c>
      <c r="J925" s="104"/>
      <c r="K925" s="104"/>
      <c r="L925" s="107"/>
      <c r="M925" s="92"/>
      <c r="N925" s="95"/>
    </row>
    <row r="926" spans="1:14" x14ac:dyDescent="0.45">
      <c r="A926" s="98"/>
      <c r="B926" s="101"/>
      <c r="C926" s="70" t="str">
        <f>"PXIe-6375/AI" &amp; D926</f>
        <v>PXIe-6375/AI198</v>
      </c>
      <c r="D926" s="30">
        <f t="shared" si="243"/>
        <v>198</v>
      </c>
      <c r="E926" s="56" t="str">
        <f t="shared" si="242"/>
        <v>Scaled current 0-8 A</v>
      </c>
      <c r="F926" s="30" t="str">
        <f t="shared" si="242"/>
        <v>TBD</v>
      </c>
      <c r="G926" s="30" t="str">
        <f t="shared" si="235"/>
        <v>None</v>
      </c>
      <c r="H926" s="41" t="str">
        <f>Paths!$B$27 &amp; I926 &amp; Paths!$B$29</f>
        <v>Targets/Controller/Calculated Channels/ATE/IO159/AI</v>
      </c>
      <c r="I926" s="33" t="str">
        <f>I921</f>
        <v>IO159</v>
      </c>
      <c r="J926" s="104"/>
      <c r="K926" s="104"/>
      <c r="L926" s="107"/>
      <c r="M926" s="92"/>
      <c r="N926" s="95"/>
    </row>
    <row r="927" spans="1:14" ht="14.65" thickBot="1" x14ac:dyDescent="0.5">
      <c r="A927" s="99"/>
      <c r="B927" s="102"/>
      <c r="C927" s="71" t="str">
        <f>"SLSC-12251-4/Ch" &amp; D927 &amp; "_DUT"</f>
        <v>SLSC-12251-4/Ch14_DUT</v>
      </c>
      <c r="D927" s="31">
        <f t="shared" si="243"/>
        <v>14</v>
      </c>
      <c r="E927" s="31" t="str">
        <f t="shared" si="242"/>
        <v>FIU</v>
      </c>
      <c r="F927" s="31" t="str">
        <f t="shared" si="242"/>
        <v>TBD</v>
      </c>
      <c r="G927" s="31" t="str">
        <f t="shared" si="235"/>
        <v>None</v>
      </c>
      <c r="H927" s="42" t="str">
        <f>Paths!$B$16 &amp; D927</f>
        <v>Targets/Controller/Hardware/SLSC/SLSC Chassis/Modules/Slot 4 (SLSC EDS :: SLSC-12251)/Physical Channels/Channel_14</v>
      </c>
      <c r="I927" s="59" t="str">
        <f>I921</f>
        <v>IO159</v>
      </c>
      <c r="J927" s="105"/>
      <c r="K927" s="105"/>
      <c r="L927" s="108"/>
      <c r="M927" s="93"/>
      <c r="N927" s="96"/>
    </row>
    <row r="928" spans="1:14" ht="15" customHeight="1" x14ac:dyDescent="0.45">
      <c r="A928" s="97">
        <f>A921+1</f>
        <v>160</v>
      </c>
      <c r="B928" s="100" t="str">
        <f>B921</f>
        <v>HIGH LOAD
DI: 0-60 V
AI: 0-60 V
EXT LOAD</v>
      </c>
      <c r="C928" s="69" t="str">
        <f>"PXIe-7820R/DIO" &amp; D928</f>
        <v>PXIe-7820R/DIO127</v>
      </c>
      <c r="D928" s="29">
        <f t="shared" si="243"/>
        <v>127</v>
      </c>
      <c r="E928" s="55" t="str">
        <f t="shared" si="242"/>
        <v>FPGA DI (PWM Meas.)</v>
      </c>
      <c r="F928" s="55" t="str">
        <f t="shared" si="242"/>
        <v>PWM_FR</v>
      </c>
      <c r="G928" s="29" t="str">
        <f t="shared" si="235"/>
        <v>ATE/IO160/PWM_FR</v>
      </c>
      <c r="H928" s="39" t="str">
        <f>Paths!$B$4 &amp; I928 &amp; Paths!$B$9</f>
        <v>Targets/Controller/Custom Devices/FPGA Addon/Scalars/Scalar Inputs/PWM.In.IO160/FREQ</v>
      </c>
      <c r="I928" s="32" t="str">
        <f>"IO" &amp; A928</f>
        <v>IO160</v>
      </c>
      <c r="J928" s="103" t="s">
        <v>6</v>
      </c>
      <c r="K928" s="103" t="s">
        <v>7</v>
      </c>
      <c r="L928" s="106"/>
      <c r="M928" s="91"/>
      <c r="N928" s="94"/>
    </row>
    <row r="929" spans="1:14" x14ac:dyDescent="0.45">
      <c r="A929" s="98"/>
      <c r="B929" s="101"/>
      <c r="C929" s="70" t="str">
        <f>"PXIe-7820R/DIO" &amp; D929</f>
        <v>PXIe-7820R/DIO127</v>
      </c>
      <c r="D929" s="30">
        <f t="shared" si="243"/>
        <v>127</v>
      </c>
      <c r="E929" s="30" t="str">
        <f t="shared" si="242"/>
        <v>FPGA DI (PWM Meas.)</v>
      </c>
      <c r="F929" s="30" t="str">
        <f t="shared" si="242"/>
        <v>PWM_DC</v>
      </c>
      <c r="G929" s="30" t="str">
        <f t="shared" si="235"/>
        <v>ATE/IO160/PWM_DC</v>
      </c>
      <c r="H929" s="40" t="str">
        <f>Paths!$B$4 &amp; I929 &amp; Paths!$B$10</f>
        <v>Targets/Controller/Custom Devices/FPGA Addon/Scalars/Scalar Inputs/PWM.In.IO160/DC</v>
      </c>
      <c r="I929" s="33" t="str">
        <f>I928</f>
        <v>IO160</v>
      </c>
      <c r="J929" s="104"/>
      <c r="K929" s="104"/>
      <c r="L929" s="107"/>
      <c r="M929" s="92"/>
      <c r="N929" s="95"/>
    </row>
    <row r="930" spans="1:14" x14ac:dyDescent="0.45">
      <c r="A930" s="98"/>
      <c r="B930" s="101"/>
      <c r="C930" s="70" t="str">
        <f>"PXIe-7820R/DIO" &amp; D930</f>
        <v>PXIe-7820R/DIO127</v>
      </c>
      <c r="D930" s="30">
        <f t="shared" si="243"/>
        <v>127</v>
      </c>
      <c r="E930" s="30" t="str">
        <f t="shared" si="242"/>
        <v>PFGA DI (DI State)</v>
      </c>
      <c r="F930" s="30" t="str">
        <f t="shared" si="242"/>
        <v>DI</v>
      </c>
      <c r="G930" s="30" t="str">
        <f t="shared" si="235"/>
        <v>ATE/IO160/DI</v>
      </c>
      <c r="H930" s="90" t="str">
        <f>Paths!$B$3 &amp; I930 &amp; Paths!$B$8</f>
        <v>Targets/Controller/Custom Devices/FPGA Addon/Scalars/Scalar Inputs/DI.IO160/STATE</v>
      </c>
      <c r="I930" s="33" t="str">
        <f>I929</f>
        <v>IO160</v>
      </c>
      <c r="J930" s="104"/>
      <c r="K930" s="104"/>
      <c r="L930" s="107"/>
      <c r="M930" s="92"/>
      <c r="N930" s="95"/>
    </row>
    <row r="931" spans="1:14" x14ac:dyDescent="0.45">
      <c r="A931" s="98"/>
      <c r="B931" s="101"/>
      <c r="C931" s="70" t="str">
        <f>"PXIe-7820R/DIO" &amp; D931</f>
        <v>PXIe-7820R/DIO127</v>
      </c>
      <c r="D931" s="30">
        <f t="shared" si="243"/>
        <v>127</v>
      </c>
      <c r="E931" s="30" t="str">
        <f t="shared" si="242"/>
        <v>FPGA DI (PWM Meas.)</v>
      </c>
      <c r="F931" s="30" t="str">
        <f t="shared" si="242"/>
        <v>PWM_TIMEOUT</v>
      </c>
      <c r="G931" s="30" t="str">
        <f t="shared" si="235"/>
        <v>ATE/IO160/PWM_TIMEOUT</v>
      </c>
      <c r="H931" s="40" t="str">
        <f>Paths!$B$5 &amp; I931 &amp; Paths!$B$11</f>
        <v>Targets/Controller/Custom Devices/FPGA Addon/Scalars/Scalar Outputs/PWM.Set.IO160/TIMEOUT</v>
      </c>
      <c r="I931" s="33" t="str">
        <f>I928</f>
        <v>IO160</v>
      </c>
      <c r="J931" s="104"/>
      <c r="K931" s="104"/>
      <c r="L931" s="107"/>
      <c r="M931" s="92"/>
      <c r="N931" s="95"/>
    </row>
    <row r="932" spans="1:14" x14ac:dyDescent="0.45">
      <c r="A932" s="98"/>
      <c r="B932" s="101"/>
      <c r="C932" s="70" t="str">
        <f>"SLSC-12202-2/P" &amp; ROUNDDOWN(D932/8,0) &amp; "." &amp; MOD(D932,8)</f>
        <v>SLSC-12202-2/P3.7</v>
      </c>
      <c r="D932" s="30">
        <f t="shared" si="243"/>
        <v>31</v>
      </c>
      <c r="E932" s="30" t="str">
        <f t="shared" si="242"/>
        <v>Input</v>
      </c>
      <c r="F932" s="30" t="str">
        <f t="shared" si="242"/>
        <v>None</v>
      </c>
      <c r="G932" s="30" t="str">
        <f t="shared" si="235"/>
        <v>None</v>
      </c>
      <c r="H932" s="36" t="str">
        <f>Paths!$B$18 &amp; "port" &amp; ROUNDDOWN(D932/8,0) &amp; "//line" &amp;MOD(D932,8) &amp;"/Properties/NI.Line.Direction"</f>
        <v>Targets/Controller/Hardware/SLSC/SLSC Chassis/Modules/Slot 7 (SLSC EDS)/Physical Channels/port3//line7/Properties/NI.Line.Direction</v>
      </c>
      <c r="I932" s="33" t="str">
        <f>I928</f>
        <v>IO160</v>
      </c>
      <c r="J932" s="104"/>
      <c r="K932" s="104"/>
      <c r="L932" s="107"/>
      <c r="M932" s="92"/>
      <c r="N932" s="95"/>
    </row>
    <row r="933" spans="1:14" x14ac:dyDescent="0.45">
      <c r="A933" s="98"/>
      <c r="B933" s="101"/>
      <c r="C933" s="70" t="str">
        <f>"PXIe-6375/AI" &amp; D933</f>
        <v>PXIe-6375/AI199</v>
      </c>
      <c r="D933" s="30">
        <f t="shared" si="243"/>
        <v>199</v>
      </c>
      <c r="E933" s="56" t="str">
        <f t="shared" si="242"/>
        <v>Scaled current 0-8 A</v>
      </c>
      <c r="F933" s="30" t="str">
        <f t="shared" si="242"/>
        <v>TBD</v>
      </c>
      <c r="G933" s="30" t="str">
        <f t="shared" si="235"/>
        <v>None</v>
      </c>
      <c r="H933" s="41" t="str">
        <f>Paths!$B$27 &amp; I933 &amp; Paths!$B$29</f>
        <v>Targets/Controller/Calculated Channels/ATE/IO160/AI</v>
      </c>
      <c r="I933" s="33" t="str">
        <f>I928</f>
        <v>IO160</v>
      </c>
      <c r="J933" s="104"/>
      <c r="K933" s="104"/>
      <c r="L933" s="107"/>
      <c r="M933" s="92"/>
      <c r="N933" s="95"/>
    </row>
    <row r="934" spans="1:14" ht="14.65" thickBot="1" x14ac:dyDescent="0.5">
      <c r="A934" s="99"/>
      <c r="B934" s="102"/>
      <c r="C934" s="71" t="str">
        <f>"SLSC-12251-4/Ch" &amp; D934 &amp; "_DUT"</f>
        <v>SLSC-12251-4/Ch15_DUT</v>
      </c>
      <c r="D934" s="31">
        <f t="shared" si="243"/>
        <v>15</v>
      </c>
      <c r="E934" s="31" t="str">
        <f t="shared" ref="E934:F934" si="244">E927</f>
        <v>FIU</v>
      </c>
      <c r="F934" s="31" t="str">
        <f t="shared" si="244"/>
        <v>TBD</v>
      </c>
      <c r="G934" s="31" t="str">
        <f t="shared" si="235"/>
        <v>None</v>
      </c>
      <c r="H934" s="42" t="str">
        <f>Paths!$B$16 &amp; D934</f>
        <v>Targets/Controller/Hardware/SLSC/SLSC Chassis/Modules/Slot 4 (SLSC EDS :: SLSC-12251)/Physical Channels/Channel_15</v>
      </c>
      <c r="I934" s="59" t="str">
        <f>I928</f>
        <v>IO160</v>
      </c>
      <c r="J934" s="105"/>
      <c r="K934" s="105"/>
      <c r="L934" s="108"/>
      <c r="M934" s="93"/>
      <c r="N934" s="96"/>
    </row>
    <row r="935" spans="1:14" ht="38.25" customHeight="1" thickBot="1" x14ac:dyDescent="0.5">
      <c r="C935" s="21"/>
      <c r="D935" s="21"/>
      <c r="E935" s="1"/>
      <c r="F935" s="1"/>
      <c r="G935" s="1"/>
      <c r="H935" s="1"/>
    </row>
    <row r="936" spans="1:14" x14ac:dyDescent="0.45">
      <c r="A936" s="97" t="s">
        <v>92</v>
      </c>
      <c r="B936" s="125" t="s">
        <v>19</v>
      </c>
      <c r="C936" s="8" t="s">
        <v>18</v>
      </c>
      <c r="D936" s="29" t="s">
        <v>97</v>
      </c>
      <c r="E936" s="10" t="s">
        <v>14</v>
      </c>
      <c r="F936" s="54" t="s">
        <v>87</v>
      </c>
      <c r="G936" s="29" t="str">
        <f>IF(OR(F936="None",F936="TBD"),"None",_xlfn.CONCAT("ATE/",I936,"/",F936))</f>
        <v>ATE/Power/Enable_RMX</v>
      </c>
      <c r="H936" s="39" t="str">
        <f>Paths!$B$30 &amp; D936</f>
        <v>Targets/Controller/Custom Devices/RMXVisaControl/Controls/Enable RMX</v>
      </c>
      <c r="I936" s="32" t="str">
        <f>A936</f>
        <v>Power</v>
      </c>
      <c r="J936" s="141" t="s">
        <v>20</v>
      </c>
      <c r="K936" s="145"/>
      <c r="L936" s="161"/>
      <c r="M936" s="161"/>
      <c r="N936" s="161"/>
    </row>
    <row r="937" spans="1:14" x14ac:dyDescent="0.45">
      <c r="A937" s="98"/>
      <c r="B937" s="104"/>
      <c r="C937" s="3" t="s">
        <v>18</v>
      </c>
      <c r="D937" s="30" t="s">
        <v>98</v>
      </c>
      <c r="E937" s="56" t="s">
        <v>103</v>
      </c>
      <c r="F937" s="47" t="s">
        <v>88</v>
      </c>
      <c r="G937" s="30" t="str">
        <f>IF(OR(F937="None",F937="TBD"),"None",_xlfn.CONCAT("ATE/",I937,"/",F937))</f>
        <v>ATE/Power/Set_Voltage</v>
      </c>
      <c r="H937" s="40" t="str">
        <f>Paths!$B$30 &amp; D937</f>
        <v>Targets/Controller/Custom Devices/RMXVisaControl/Controls/Voltage_In</v>
      </c>
      <c r="I937" s="33" t="str">
        <f>A936</f>
        <v>Power</v>
      </c>
      <c r="J937" s="142"/>
      <c r="K937" s="145"/>
      <c r="L937" s="161"/>
      <c r="M937" s="161"/>
      <c r="N937" s="161"/>
    </row>
    <row r="938" spans="1:14" x14ac:dyDescent="0.45">
      <c r="A938" s="98"/>
      <c r="B938" s="104"/>
      <c r="C938" s="15" t="s">
        <v>18</v>
      </c>
      <c r="D938" s="64" t="s">
        <v>99</v>
      </c>
      <c r="E938" s="56" t="s">
        <v>104</v>
      </c>
      <c r="F938" s="78" t="s">
        <v>89</v>
      </c>
      <c r="G938" s="30" t="str">
        <f>IF(OR(F938="None",F938="TBD"),"None",_xlfn.CONCAT("ATE/",I938,"/",F938))</f>
        <v>ATE/Power/Set_Current</v>
      </c>
      <c r="H938" s="80" t="str">
        <f>Paths!$B$30 &amp; D938</f>
        <v>Targets/Controller/Custom Devices/RMXVisaControl/Controls/Current_In</v>
      </c>
      <c r="I938" s="33" t="str">
        <f>A936</f>
        <v>Power</v>
      </c>
      <c r="J938" s="142"/>
      <c r="K938" s="145"/>
      <c r="L938" s="161"/>
      <c r="M938" s="161"/>
      <c r="N938" s="161"/>
    </row>
    <row r="939" spans="1:14" x14ac:dyDescent="0.45">
      <c r="A939" s="98"/>
      <c r="B939" s="104"/>
      <c r="C939" s="15" t="s">
        <v>18</v>
      </c>
      <c r="D939" s="64" t="s">
        <v>100</v>
      </c>
      <c r="E939" s="56" t="s">
        <v>103</v>
      </c>
      <c r="F939" s="78" t="s">
        <v>90</v>
      </c>
      <c r="G939" s="30" t="str">
        <f>IF(OR(F939="None",F939="TBD"),"None",_xlfn.CONCAT("ATE/",I939,"/",F939))</f>
        <v>ATE/Power/Get_Voltage</v>
      </c>
      <c r="H939" s="80" t="str">
        <f>Paths!$B$31 &amp; D939</f>
        <v>Targets/Controller/Custom Devices/RMXVisaControl/Indicators/Voltage_Out</v>
      </c>
      <c r="I939" s="33" t="str">
        <f>A936</f>
        <v>Power</v>
      </c>
      <c r="J939" s="142"/>
      <c r="K939" s="145"/>
      <c r="L939" s="161"/>
      <c r="M939" s="161"/>
      <c r="N939" s="161"/>
    </row>
    <row r="940" spans="1:14" ht="14.65" thickBot="1" x14ac:dyDescent="0.5">
      <c r="A940" s="99"/>
      <c r="B940" s="105"/>
      <c r="C940" s="5" t="s">
        <v>18</v>
      </c>
      <c r="D940" s="31" t="s">
        <v>101</v>
      </c>
      <c r="E940" s="56" t="s">
        <v>104</v>
      </c>
      <c r="F940" s="79" t="s">
        <v>91</v>
      </c>
      <c r="G940" s="31" t="str">
        <f>IF(OR(F940="None",F940="TBD"),"None",_xlfn.CONCAT("ATE/",I940,"/",F940))</f>
        <v>ATE/Power/Get_Current</v>
      </c>
      <c r="H940" s="81" t="str">
        <f>Paths!$B$31 &amp; D940</f>
        <v>Targets/Controller/Custom Devices/RMXVisaControl/Indicators/Current_Out</v>
      </c>
      <c r="I940" s="33" t="str">
        <f>A936</f>
        <v>Power</v>
      </c>
      <c r="J940" s="143"/>
      <c r="K940" s="146"/>
      <c r="L940" s="162"/>
      <c r="M940" s="162"/>
      <c r="N940" s="162"/>
    </row>
    <row r="941" spans="1:14" ht="15" customHeight="1" x14ac:dyDescent="0.45">
      <c r="A941" s="97" t="s">
        <v>92</v>
      </c>
      <c r="B941" s="123" t="s">
        <v>107</v>
      </c>
      <c r="C941" s="119" t="str">
        <f>"PXI-2567/CH" &amp; D941</f>
        <v>PXI-2567/CH0</v>
      </c>
      <c r="D941" s="115">
        <v>0</v>
      </c>
      <c r="E941" s="117" t="s">
        <v>108</v>
      </c>
      <c r="F941" s="117" t="str">
        <f>"Enable_" &amp;D941+1</f>
        <v>Enable_1</v>
      </c>
      <c r="G941" s="109" t="str">
        <f t="shared" ref="G941:G943" si="245">IF(OR(F941="None",F941="TBD"),"None",_xlfn.CONCAT("ATE/",I941,"/",F941))</f>
        <v>ATE/Power/Enable_1</v>
      </c>
      <c r="H941" s="111" t="str">
        <f>Paths!$B$32 &amp; "port" &amp; ROUNDDOWN(D941/32,0) &amp; "/DO" &amp;D941</f>
        <v>Targets/Controller/Hardware/Chassis/DAQ/PXI1Slot5/Digital Output/port0/DO0</v>
      </c>
      <c r="I941" s="103" t="str">
        <f>A941</f>
        <v>Power</v>
      </c>
      <c r="J941" s="22" t="s">
        <v>6</v>
      </c>
      <c r="K941" s="16" t="s">
        <v>7</v>
      </c>
      <c r="L941" s="7"/>
      <c r="M941" s="8"/>
      <c r="N941" s="9"/>
    </row>
    <row r="942" spans="1:14" ht="14.65" thickBot="1" x14ac:dyDescent="0.5">
      <c r="A942" s="99"/>
      <c r="B942" s="124"/>
      <c r="C942" s="120"/>
      <c r="D942" s="116"/>
      <c r="E942" s="118"/>
      <c r="F942" s="118"/>
      <c r="G942" s="110"/>
      <c r="H942" s="112"/>
      <c r="I942" s="105"/>
      <c r="J942" s="23" t="s">
        <v>6</v>
      </c>
      <c r="K942" s="17" t="s">
        <v>7</v>
      </c>
      <c r="L942" s="4"/>
      <c r="M942" s="5"/>
      <c r="N942" s="6"/>
    </row>
    <row r="943" spans="1:14" ht="15" customHeight="1" x14ac:dyDescent="0.45">
      <c r="A943" s="97" t="s">
        <v>92</v>
      </c>
      <c r="B943" s="100" t="str">
        <f>B941</f>
        <v>Power Group</v>
      </c>
      <c r="C943" s="119" t="str">
        <f>"PXI-2567/CH" &amp; D943</f>
        <v>PXI-2567/CH1</v>
      </c>
      <c r="D943" s="113">
        <f>D941+1</f>
        <v>1</v>
      </c>
      <c r="E943" s="121" t="str">
        <f>E941</f>
        <v>DO (Relay driver)
Load max. 2x 10 A</v>
      </c>
      <c r="F943" s="117" t="str">
        <f t="shared" ref="F943" si="246">"Enable_" &amp;D943+1</f>
        <v>Enable_2</v>
      </c>
      <c r="G943" s="109" t="str">
        <f t="shared" si="245"/>
        <v>ATE/Power/Enable_2</v>
      </c>
      <c r="H943" s="111" t="str">
        <f>Paths!$B$32 &amp; "port" &amp; ROUNDDOWN(D943/32,0) &amp; "/DO" &amp;D943</f>
        <v>Targets/Controller/Hardware/Chassis/DAQ/PXI1Slot5/Digital Output/port0/DO1</v>
      </c>
      <c r="I943" s="103" t="str">
        <f>A943</f>
        <v>Power</v>
      </c>
      <c r="J943" s="22" t="s">
        <v>6</v>
      </c>
      <c r="K943" s="16" t="s">
        <v>7</v>
      </c>
      <c r="L943" s="7"/>
      <c r="M943" s="8"/>
      <c r="N943" s="9"/>
    </row>
    <row r="944" spans="1:14" ht="14.65" thickBot="1" x14ac:dyDescent="0.5">
      <c r="A944" s="99"/>
      <c r="B944" s="102"/>
      <c r="C944" s="120"/>
      <c r="D944" s="114"/>
      <c r="E944" s="122"/>
      <c r="F944" s="118"/>
      <c r="G944" s="110"/>
      <c r="H944" s="112"/>
      <c r="I944" s="105"/>
      <c r="J944" s="23" t="s">
        <v>6</v>
      </c>
      <c r="K944" s="17" t="s">
        <v>7</v>
      </c>
      <c r="L944" s="4"/>
      <c r="M944" s="5"/>
      <c r="N944" s="6"/>
    </row>
    <row r="945" spans="1:14" ht="15" customHeight="1" x14ac:dyDescent="0.45">
      <c r="A945" s="97" t="s">
        <v>92</v>
      </c>
      <c r="B945" s="100" t="str">
        <f>B943</f>
        <v>Power Group</v>
      </c>
      <c r="C945" s="119" t="str">
        <f>"PXI-2567/CH" &amp; D945</f>
        <v>PXI-2567/CH2</v>
      </c>
      <c r="D945" s="113">
        <f>D943+1</f>
        <v>2</v>
      </c>
      <c r="E945" s="121" t="str">
        <f>E943</f>
        <v>DO (Relay driver)
Load max. 2x 10 A</v>
      </c>
      <c r="F945" s="117" t="str">
        <f t="shared" ref="F945" si="247">"Enable_" &amp;D945+1</f>
        <v>Enable_3</v>
      </c>
      <c r="G945" s="109" t="str">
        <f t="shared" ref="G945" si="248">IF(OR(F945="None",F945="TBD"),"None",_xlfn.CONCAT("ATE/",I945,"/",F945))</f>
        <v>ATE/Power/Enable_3</v>
      </c>
      <c r="H945" s="111" t="str">
        <f>Paths!$B$32 &amp; "port" &amp; ROUNDDOWN(D945/32,0) &amp; "/DO" &amp;D945</f>
        <v>Targets/Controller/Hardware/Chassis/DAQ/PXI1Slot5/Digital Output/port0/DO2</v>
      </c>
      <c r="I945" s="103" t="str">
        <f>A945</f>
        <v>Power</v>
      </c>
      <c r="J945" s="22" t="s">
        <v>6</v>
      </c>
      <c r="K945" s="16" t="s">
        <v>7</v>
      </c>
      <c r="L945" s="7"/>
      <c r="M945" s="8"/>
      <c r="N945" s="9"/>
    </row>
    <row r="946" spans="1:14" ht="14.65" thickBot="1" x14ac:dyDescent="0.5">
      <c r="A946" s="99"/>
      <c r="B946" s="102"/>
      <c r="C946" s="120"/>
      <c r="D946" s="114"/>
      <c r="E946" s="122"/>
      <c r="F946" s="118"/>
      <c r="G946" s="110"/>
      <c r="H946" s="112"/>
      <c r="I946" s="105"/>
      <c r="J946" s="23" t="s">
        <v>6</v>
      </c>
      <c r="K946" s="17" t="s">
        <v>7</v>
      </c>
      <c r="L946" s="4"/>
      <c r="M946" s="5"/>
      <c r="N946" s="6"/>
    </row>
    <row r="947" spans="1:14" ht="15" customHeight="1" x14ac:dyDescent="0.45">
      <c r="A947" s="97" t="s">
        <v>92</v>
      </c>
      <c r="B947" s="100" t="str">
        <f>B945</f>
        <v>Power Group</v>
      </c>
      <c r="C947" s="119" t="str">
        <f>"PXI-2567/CH" &amp; D947</f>
        <v>PXI-2567/CH3</v>
      </c>
      <c r="D947" s="113">
        <f>D945+1</f>
        <v>3</v>
      </c>
      <c r="E947" s="121" t="str">
        <f>E945</f>
        <v>DO (Relay driver)
Load max. 2x 10 A</v>
      </c>
      <c r="F947" s="117" t="str">
        <f t="shared" ref="F947" si="249">"Enable_" &amp;D947+1</f>
        <v>Enable_4</v>
      </c>
      <c r="G947" s="109" t="str">
        <f t="shared" ref="G947" si="250">IF(OR(F947="None",F947="TBD"),"None",_xlfn.CONCAT("ATE/",I947,"/",F947))</f>
        <v>ATE/Power/Enable_4</v>
      </c>
      <c r="H947" s="111" t="str">
        <f>Paths!$B$32 &amp; "port" &amp; ROUNDDOWN(D947/32,0) &amp; "/DO" &amp;D947</f>
        <v>Targets/Controller/Hardware/Chassis/DAQ/PXI1Slot5/Digital Output/port0/DO3</v>
      </c>
      <c r="I947" s="103" t="str">
        <f>A947</f>
        <v>Power</v>
      </c>
      <c r="J947" s="22" t="s">
        <v>6</v>
      </c>
      <c r="K947" s="16" t="s">
        <v>7</v>
      </c>
      <c r="L947" s="7"/>
      <c r="M947" s="8"/>
      <c r="N947" s="9"/>
    </row>
    <row r="948" spans="1:14" ht="14.65" thickBot="1" x14ac:dyDescent="0.5">
      <c r="A948" s="99"/>
      <c r="B948" s="102"/>
      <c r="C948" s="120"/>
      <c r="D948" s="114"/>
      <c r="E948" s="122"/>
      <c r="F948" s="118"/>
      <c r="G948" s="110"/>
      <c r="H948" s="112"/>
      <c r="I948" s="105"/>
      <c r="J948" s="23" t="s">
        <v>6</v>
      </c>
      <c r="K948" s="17" t="s">
        <v>7</v>
      </c>
      <c r="L948" s="4"/>
      <c r="M948" s="5"/>
      <c r="N948" s="6"/>
    </row>
    <row r="949" spans="1:14" ht="15" customHeight="1" x14ac:dyDescent="0.45">
      <c r="A949" s="97" t="s">
        <v>92</v>
      </c>
      <c r="B949" s="100" t="str">
        <f>B947</f>
        <v>Power Group</v>
      </c>
      <c r="C949" s="119" t="str">
        <f>"PXI-2567/CH" &amp; D949</f>
        <v>PXI-2567/CH4</v>
      </c>
      <c r="D949" s="113">
        <f>D947+1</f>
        <v>4</v>
      </c>
      <c r="E949" s="121" t="str">
        <f>E947</f>
        <v>DO (Relay driver)
Load max. 2x 10 A</v>
      </c>
      <c r="F949" s="117" t="str">
        <f t="shared" ref="F949" si="251">"Enable_" &amp;D949+1</f>
        <v>Enable_5</v>
      </c>
      <c r="G949" s="109" t="str">
        <f t="shared" ref="G949" si="252">IF(OR(F949="None",F949="TBD"),"None",_xlfn.CONCAT("ATE/",I949,"/",F949))</f>
        <v>ATE/Power/Enable_5</v>
      </c>
      <c r="H949" s="111" t="str">
        <f>Paths!$B$32 &amp; "port" &amp; ROUNDDOWN(D949/32,0) &amp; "/DO" &amp;D949</f>
        <v>Targets/Controller/Hardware/Chassis/DAQ/PXI1Slot5/Digital Output/port0/DO4</v>
      </c>
      <c r="I949" s="103" t="str">
        <f>A949</f>
        <v>Power</v>
      </c>
      <c r="J949" s="22" t="s">
        <v>6</v>
      </c>
      <c r="K949" s="16" t="s">
        <v>7</v>
      </c>
      <c r="L949" s="7"/>
      <c r="M949" s="8"/>
      <c r="N949" s="9"/>
    </row>
    <row r="950" spans="1:14" ht="14.65" thickBot="1" x14ac:dyDescent="0.5">
      <c r="A950" s="99"/>
      <c r="B950" s="102"/>
      <c r="C950" s="120"/>
      <c r="D950" s="114"/>
      <c r="E950" s="122"/>
      <c r="F950" s="118"/>
      <c r="G950" s="110"/>
      <c r="H950" s="112"/>
      <c r="I950" s="105"/>
      <c r="J950" s="23" t="s">
        <v>6</v>
      </c>
      <c r="K950" s="17" t="s">
        <v>7</v>
      </c>
      <c r="L950" s="4"/>
      <c r="M950" s="5"/>
      <c r="N950" s="6"/>
    </row>
    <row r="951" spans="1:14" ht="15" customHeight="1" x14ac:dyDescent="0.45">
      <c r="A951" s="97" t="s">
        <v>92</v>
      </c>
      <c r="B951" s="100" t="str">
        <f>B949</f>
        <v>Power Group</v>
      </c>
      <c r="C951" s="119" t="str">
        <f>"PXI-2567/CH" &amp; D951</f>
        <v>PXI-2567/CH5</v>
      </c>
      <c r="D951" s="113">
        <f>D949+1</f>
        <v>5</v>
      </c>
      <c r="E951" s="121" t="str">
        <f>E949</f>
        <v>DO (Relay driver)
Load max. 2x 10 A</v>
      </c>
      <c r="F951" s="117" t="str">
        <f t="shared" ref="F951" si="253">"Enable_" &amp;D951+1</f>
        <v>Enable_6</v>
      </c>
      <c r="G951" s="109" t="str">
        <f t="shared" ref="G951" si="254">IF(OR(F951="None",F951="TBD"),"None",_xlfn.CONCAT("ATE/",I951,"/",F951))</f>
        <v>ATE/Power/Enable_6</v>
      </c>
      <c r="H951" s="111" t="str">
        <f>Paths!$B$32 &amp; "port" &amp; ROUNDDOWN(D951/32,0) &amp; "/DO" &amp;D951</f>
        <v>Targets/Controller/Hardware/Chassis/DAQ/PXI1Slot5/Digital Output/port0/DO5</v>
      </c>
      <c r="I951" s="103" t="str">
        <f>A951</f>
        <v>Power</v>
      </c>
      <c r="J951" s="22" t="s">
        <v>6</v>
      </c>
      <c r="K951" s="16" t="s">
        <v>7</v>
      </c>
      <c r="L951" s="7"/>
      <c r="M951" s="8"/>
      <c r="N951" s="9"/>
    </row>
    <row r="952" spans="1:14" ht="14.65" thickBot="1" x14ac:dyDescent="0.5">
      <c r="A952" s="99"/>
      <c r="B952" s="102"/>
      <c r="C952" s="120"/>
      <c r="D952" s="114"/>
      <c r="E952" s="122"/>
      <c r="F952" s="118"/>
      <c r="G952" s="110"/>
      <c r="H952" s="112"/>
      <c r="I952" s="105"/>
      <c r="J952" s="23" t="s">
        <v>6</v>
      </c>
      <c r="K952" s="17" t="s">
        <v>7</v>
      </c>
      <c r="L952" s="4"/>
      <c r="M952" s="5"/>
      <c r="N952" s="6"/>
    </row>
    <row r="953" spans="1:14" ht="26.25" customHeight="1" thickBot="1" x14ac:dyDescent="0.5"/>
    <row r="954" spans="1:14" ht="26.25" customHeight="1" thickBot="1" x14ac:dyDescent="0.5">
      <c r="A954" s="88" t="s">
        <v>132</v>
      </c>
      <c r="B954" s="88" t="s">
        <v>128</v>
      </c>
      <c r="C954" s="77" t="str">
        <f>"SLSC-12202-1"</f>
        <v>SLSC-12202-1</v>
      </c>
      <c r="D954" s="88" t="s">
        <v>131</v>
      </c>
      <c r="E954" s="88" t="s">
        <v>130</v>
      </c>
      <c r="F954" s="88" t="s">
        <v>17</v>
      </c>
      <c r="G954" s="77" t="str">
        <f>IF(OR(F954="None",F954="TBD"),"None",_xlfn.CONCAT("ATE/",I954,"/",F954))</f>
        <v>None</v>
      </c>
      <c r="H954" s="89" t="str">
        <f>Paths!$B$17 &amp; E954 &amp; "/" &amp; D954</f>
        <v>Targets/Controller/Hardware/SLSC/SLSC Chassis/Modules/Slot 6 (SLSC EDS)/Physical Channels/Commands/NI.UpdateChannelConfiguration</v>
      </c>
      <c r="I954" s="88" t="str">
        <f>A954</f>
        <v>SLSC</v>
      </c>
    </row>
    <row r="955" spans="1:14" ht="26.25" customHeight="1" thickBot="1" x14ac:dyDescent="0.5">
      <c r="A955" s="88" t="s">
        <v>132</v>
      </c>
      <c r="B955" s="88" t="s">
        <v>128</v>
      </c>
      <c r="C955" s="77" t="str">
        <f>"SLSC-12202-2"</f>
        <v>SLSC-12202-2</v>
      </c>
      <c r="D955" s="88" t="s">
        <v>131</v>
      </c>
      <c r="E955" s="88" t="s">
        <v>130</v>
      </c>
      <c r="F955" s="88" t="s">
        <v>17</v>
      </c>
      <c r="G955" s="77" t="str">
        <f>IF(OR(F955="None",F955="TBD"),"None",_xlfn.CONCAT("ATE/",I955,"/",F955))</f>
        <v>None</v>
      </c>
      <c r="H955" s="89" t="str">
        <f>Paths!$B$18 &amp; E955 &amp; "/" &amp; D955</f>
        <v>Targets/Controller/Hardware/SLSC/SLSC Chassis/Modules/Slot 7 (SLSC EDS)/Physical Channels/Commands/NI.UpdateChannelConfiguration</v>
      </c>
      <c r="I955" s="88" t="str">
        <f>A955</f>
        <v>SLSC</v>
      </c>
    </row>
    <row r="956" spans="1:14" ht="26.25" customHeight="1" thickBot="1" x14ac:dyDescent="0.5">
      <c r="A956" s="1"/>
      <c r="B956" s="1"/>
      <c r="C956" s="63"/>
      <c r="D956" s="26"/>
      <c r="E956" s="26"/>
      <c r="F956" s="26"/>
      <c r="G956" s="26"/>
      <c r="H956" s="87"/>
      <c r="I956" s="1"/>
    </row>
    <row r="957" spans="1:14" ht="43.15" thickBot="1" x14ac:dyDescent="0.5">
      <c r="A957" s="77" t="str">
        <f>A2 &amp; " - " &amp; A92</f>
        <v>1 - 16</v>
      </c>
      <c r="B957" s="72" t="str">
        <f>B2</f>
        <v>AO/DO
AO U: 0-10 V
DO: 0-Vsup</v>
      </c>
      <c r="C957" s="77" t="str">
        <f>"SLSC-12202-1/Bank 0/"</f>
        <v>SLSC-12202-1/Bank 0/</v>
      </c>
      <c r="D957" s="77" t="s">
        <v>85</v>
      </c>
      <c r="E957" s="77" t="s">
        <v>86</v>
      </c>
      <c r="F957" s="77" t="s">
        <v>17</v>
      </c>
      <c r="G957" s="77" t="str">
        <f>IF(OR(F957="None",F957="TBD"),"None",_xlfn.CONCAT("ATE/",I957,"/",F957))</f>
        <v>None</v>
      </c>
      <c r="H957" s="72" t="str">
        <f>Paths!$B$19 &amp; "Bank 0/" &amp; D957</f>
        <v>Targets/Controller/Hardware/SLSC/SLSC Chassis/Modules/Slot 8 (SLSC-12201 DIO)/Bank 0/Select Vsup</v>
      </c>
      <c r="I957" s="76"/>
      <c r="J957" s="1"/>
      <c r="K957" s="1"/>
      <c r="L957" s="1"/>
      <c r="M957" s="1"/>
      <c r="N957" s="1"/>
    </row>
    <row r="958" spans="1:14" ht="57.4" thickBot="1" x14ac:dyDescent="0.5">
      <c r="A958" s="77" t="str">
        <f>A99 &amp; " - " &amp; A219</f>
        <v>17 - 32</v>
      </c>
      <c r="B958" s="72" t="str">
        <f>B99</f>
        <v>AO/DO
AO U: 0-10 V
AO R: 10 Ω - 8 MΩ
DO: 0-Vsup</v>
      </c>
      <c r="C958" s="73" t="str">
        <f>"SLSC-12202-1/Bank 1/"</f>
        <v>SLSC-12202-1/Bank 1/</v>
      </c>
      <c r="D958" s="74" t="s">
        <v>85</v>
      </c>
      <c r="E958" s="74" t="s">
        <v>86</v>
      </c>
      <c r="F958" s="74" t="s">
        <v>17</v>
      </c>
      <c r="G958" s="74" t="str">
        <f>IF(OR(F958="None",F958="TBD"),"None",_xlfn.CONCAT("ATE/",I958,"/",F958))</f>
        <v>None</v>
      </c>
      <c r="H958" s="75" t="str">
        <f>Paths!$B$19 &amp; "Bank 1/" &amp; D958</f>
        <v>Targets/Controller/Hardware/SLSC/SLSC Chassis/Modules/Slot 8 (SLSC-12201 DIO)/Bank 1/Select Vsup</v>
      </c>
    </row>
    <row r="959" spans="1:14" ht="47.25" customHeight="1" thickBot="1" x14ac:dyDescent="0.5">
      <c r="A959" s="77" t="str">
        <f>A357 &amp; " - " &amp; A417</f>
        <v>65 - 80</v>
      </c>
      <c r="B959" s="72" t="str">
        <f>B357</f>
        <v>DO
DO: 0-Vsup</v>
      </c>
      <c r="C959" s="73" t="str">
        <f>"SLSC-12202-2/Bank 0/"</f>
        <v>SLSC-12202-2/Bank 0/</v>
      </c>
      <c r="D959" s="74" t="s">
        <v>85</v>
      </c>
      <c r="E959" s="74" t="s">
        <v>86</v>
      </c>
      <c r="F959" s="74" t="s">
        <v>17</v>
      </c>
      <c r="G959" s="74" t="str">
        <f>IF(OR(F959="None",F959="TBD"),"None",_xlfn.CONCAT("ATE/",I959,"/",F959))</f>
        <v>None</v>
      </c>
      <c r="H959" s="75" t="str">
        <f>Paths!$B$20 &amp; "Bank 0/" &amp; D959</f>
        <v>Targets/Controller/Hardware/SLSC/SLSC Chassis/Modules/Slot 9 (SLSC-12201 DIO)/Bank 0/Select Vsup</v>
      </c>
    </row>
    <row r="960" spans="1:14" ht="57.4" thickBot="1" x14ac:dyDescent="0.5">
      <c r="A960" s="77" t="str">
        <f>A422 &amp; " - " &amp; A482</f>
        <v>81 - 96</v>
      </c>
      <c r="B960" s="72" t="str">
        <f>B422</f>
        <v>LOW LOAD
DI: 0-60 V
AI: 0-60 V
EXT LOAD</v>
      </c>
      <c r="C960" s="73" t="str">
        <f>"SLSC-12202-1/Bank 1/"</f>
        <v>SLSC-12202-1/Bank 1/</v>
      </c>
      <c r="D960" s="74" t="s">
        <v>85</v>
      </c>
      <c r="E960" s="74" t="s">
        <v>105</v>
      </c>
      <c r="F960" s="74" t="s">
        <v>17</v>
      </c>
      <c r="G960" s="74" t="str">
        <f>IF(OR(F960="None",F960="TBD"),"None",_xlfn.CONCAT("ATE/",I960,"/",F960))</f>
        <v>None</v>
      </c>
      <c r="H960" s="75" t="str">
        <f>Paths!$B$20 &amp; "Bank 1/" &amp; D960</f>
        <v>Targets/Controller/Hardware/SLSC/SLSC Chassis/Modules/Slot 9 (SLSC-12201 DIO)/Bank 1/Select Vsup</v>
      </c>
    </row>
  </sheetData>
  <mergeCells count="1181">
    <mergeCell ref="L131:L138"/>
    <mergeCell ref="M131:M138"/>
    <mergeCell ref="N131:N138"/>
    <mergeCell ref="L139:L146"/>
    <mergeCell ref="M139:M146"/>
    <mergeCell ref="N139:N146"/>
    <mergeCell ref="L147:L154"/>
    <mergeCell ref="M147:M154"/>
    <mergeCell ref="N147:N154"/>
    <mergeCell ref="J936:J940"/>
    <mergeCell ref="K936:K940"/>
    <mergeCell ref="L936:L940"/>
    <mergeCell ref="M936:M940"/>
    <mergeCell ref="N936:N940"/>
    <mergeCell ref="N487:N493"/>
    <mergeCell ref="M487:M493"/>
    <mergeCell ref="L487:L493"/>
    <mergeCell ref="K487:K493"/>
    <mergeCell ref="J131:J138"/>
    <mergeCell ref="K131:K138"/>
    <mergeCell ref="J139:J146"/>
    <mergeCell ref="K139:K146"/>
    <mergeCell ref="N171:N178"/>
    <mergeCell ref="L683:L689"/>
    <mergeCell ref="M683:M689"/>
    <mergeCell ref="N683:N689"/>
    <mergeCell ref="J928:J934"/>
    <mergeCell ref="K928:K934"/>
    <mergeCell ref="L928:L934"/>
    <mergeCell ref="M928:M934"/>
    <mergeCell ref="N928:N934"/>
    <mergeCell ref="L914:L920"/>
    <mergeCell ref="A951:A952"/>
    <mergeCell ref="B951:B952"/>
    <mergeCell ref="C951:C952"/>
    <mergeCell ref="D951:D952"/>
    <mergeCell ref="E951:E952"/>
    <mergeCell ref="F951:F952"/>
    <mergeCell ref="G951:G952"/>
    <mergeCell ref="H951:H952"/>
    <mergeCell ref="I951:I952"/>
    <mergeCell ref="A947:A948"/>
    <mergeCell ref="B947:B948"/>
    <mergeCell ref="C947:C948"/>
    <mergeCell ref="D947:D948"/>
    <mergeCell ref="E947:E948"/>
    <mergeCell ref="F947:F948"/>
    <mergeCell ref="G947:G948"/>
    <mergeCell ref="H947:H948"/>
    <mergeCell ref="I947:I948"/>
    <mergeCell ref="A949:A950"/>
    <mergeCell ref="B949:B950"/>
    <mergeCell ref="C949:C950"/>
    <mergeCell ref="D949:D950"/>
    <mergeCell ref="E949:E950"/>
    <mergeCell ref="F949:F950"/>
    <mergeCell ref="G949:G950"/>
    <mergeCell ref="H949:H950"/>
    <mergeCell ref="I949:I950"/>
    <mergeCell ref="B147:B154"/>
    <mergeCell ref="J147:J154"/>
    <mergeCell ref="K147:K154"/>
    <mergeCell ref="B139:B146"/>
    <mergeCell ref="K32:K37"/>
    <mergeCell ref="J228:J231"/>
    <mergeCell ref="J107:J114"/>
    <mergeCell ref="K107:K114"/>
    <mergeCell ref="A155:A162"/>
    <mergeCell ref="B155:B162"/>
    <mergeCell ref="J155:J162"/>
    <mergeCell ref="K155:K162"/>
    <mergeCell ref="A179:A186"/>
    <mergeCell ref="B179:B186"/>
    <mergeCell ref="J179:J186"/>
    <mergeCell ref="K179:K186"/>
    <mergeCell ref="N357:N360"/>
    <mergeCell ref="K357:K360"/>
    <mergeCell ref="J357:J360"/>
    <mergeCell ref="L155:L162"/>
    <mergeCell ref="M155:M162"/>
    <mergeCell ref="N155:N162"/>
    <mergeCell ref="K228:K231"/>
    <mergeCell ref="A80:A85"/>
    <mergeCell ref="B80:B85"/>
    <mergeCell ref="A74:A79"/>
    <mergeCell ref="B74:B79"/>
    <mergeCell ref="A62:A67"/>
    <mergeCell ref="B62:B67"/>
    <mergeCell ref="L62:L67"/>
    <mergeCell ref="M62:M67"/>
    <mergeCell ref="N62:N67"/>
    <mergeCell ref="J38:J43"/>
    <mergeCell ref="K38:K43"/>
    <mergeCell ref="L38:L43"/>
    <mergeCell ref="M38:M43"/>
    <mergeCell ref="N38:N43"/>
    <mergeCell ref="L99:L106"/>
    <mergeCell ref="L32:L37"/>
    <mergeCell ref="L74:L79"/>
    <mergeCell ref="M99:M106"/>
    <mergeCell ref="N99:N106"/>
    <mergeCell ref="L107:L114"/>
    <mergeCell ref="M32:M37"/>
    <mergeCell ref="N32:N37"/>
    <mergeCell ref="M74:M79"/>
    <mergeCell ref="N74:N79"/>
    <mergeCell ref="L86:L91"/>
    <mergeCell ref="M86:M91"/>
    <mergeCell ref="J32:J37"/>
    <mergeCell ref="J86:J91"/>
    <mergeCell ref="J80:J85"/>
    <mergeCell ref="K80:K85"/>
    <mergeCell ref="L80:L85"/>
    <mergeCell ref="M80:M85"/>
    <mergeCell ref="N80:N85"/>
    <mergeCell ref="J62:J67"/>
    <mergeCell ref="K62:K67"/>
    <mergeCell ref="A2:A7"/>
    <mergeCell ref="A8:A13"/>
    <mergeCell ref="A14:A19"/>
    <mergeCell ref="A20:A25"/>
    <mergeCell ref="K2:K7"/>
    <mergeCell ref="L2:L7"/>
    <mergeCell ref="M2:M7"/>
    <mergeCell ref="N2:N7"/>
    <mergeCell ref="J2:J7"/>
    <mergeCell ref="K8:K13"/>
    <mergeCell ref="L8:L13"/>
    <mergeCell ref="M8:M13"/>
    <mergeCell ref="N8:N13"/>
    <mergeCell ref="K20:K25"/>
    <mergeCell ref="B2:B7"/>
    <mergeCell ref="B8:B13"/>
    <mergeCell ref="J8:J13"/>
    <mergeCell ref="B14:B19"/>
    <mergeCell ref="J14:J19"/>
    <mergeCell ref="B20:B25"/>
    <mergeCell ref="J20:J25"/>
    <mergeCell ref="K14:K19"/>
    <mergeCell ref="L14:L19"/>
    <mergeCell ref="M14:M19"/>
    <mergeCell ref="N14:N19"/>
    <mergeCell ref="L20:L25"/>
    <mergeCell ref="M20:M25"/>
    <mergeCell ref="N20:N25"/>
    <mergeCell ref="A26:A31"/>
    <mergeCell ref="K26:K31"/>
    <mergeCell ref="L26:L31"/>
    <mergeCell ref="M26:M31"/>
    <mergeCell ref="N26:N31"/>
    <mergeCell ref="B26:B31"/>
    <mergeCell ref="J26:J31"/>
    <mergeCell ref="A56:A61"/>
    <mergeCell ref="B56:B61"/>
    <mergeCell ref="J56:J61"/>
    <mergeCell ref="K56:K61"/>
    <mergeCell ref="L56:L61"/>
    <mergeCell ref="M56:M61"/>
    <mergeCell ref="N56:N61"/>
    <mergeCell ref="A50:A55"/>
    <mergeCell ref="B50:B55"/>
    <mergeCell ref="J50:J55"/>
    <mergeCell ref="K50:K55"/>
    <mergeCell ref="L50:L55"/>
    <mergeCell ref="M50:M55"/>
    <mergeCell ref="N50:N55"/>
    <mergeCell ref="A44:A49"/>
    <mergeCell ref="B44:B49"/>
    <mergeCell ref="J44:J49"/>
    <mergeCell ref="K44:K49"/>
    <mergeCell ref="L44:L49"/>
    <mergeCell ref="M44:M49"/>
    <mergeCell ref="N44:N49"/>
    <mergeCell ref="A38:A43"/>
    <mergeCell ref="B38:B43"/>
    <mergeCell ref="A32:A37"/>
    <mergeCell ref="B32:B37"/>
    <mergeCell ref="A68:A73"/>
    <mergeCell ref="B68:B73"/>
    <mergeCell ref="J68:J73"/>
    <mergeCell ref="K68:K73"/>
    <mergeCell ref="L68:L73"/>
    <mergeCell ref="M68:M73"/>
    <mergeCell ref="N68:N73"/>
    <mergeCell ref="J74:J79"/>
    <mergeCell ref="K74:K79"/>
    <mergeCell ref="N86:N91"/>
    <mergeCell ref="A92:A97"/>
    <mergeCell ref="B92:B97"/>
    <mergeCell ref="J92:J97"/>
    <mergeCell ref="K92:K97"/>
    <mergeCell ref="L92:L97"/>
    <mergeCell ref="M92:M97"/>
    <mergeCell ref="N92:N97"/>
    <mergeCell ref="A86:A91"/>
    <mergeCell ref="B86:B91"/>
    <mergeCell ref="A99:A106"/>
    <mergeCell ref="A107:A114"/>
    <mergeCell ref="B107:B114"/>
    <mergeCell ref="A115:A122"/>
    <mergeCell ref="B115:B122"/>
    <mergeCell ref="B99:B106"/>
    <mergeCell ref="A123:A130"/>
    <mergeCell ref="B123:B130"/>
    <mergeCell ref="J99:J106"/>
    <mergeCell ref="K99:K106"/>
    <mergeCell ref="K86:K91"/>
    <mergeCell ref="J123:J130"/>
    <mergeCell ref="K123:K130"/>
    <mergeCell ref="M115:M122"/>
    <mergeCell ref="N115:N122"/>
    <mergeCell ref="L123:L130"/>
    <mergeCell ref="M123:M130"/>
    <mergeCell ref="N123:N130"/>
    <mergeCell ref="A131:A138"/>
    <mergeCell ref="B131:B138"/>
    <mergeCell ref="A139:A146"/>
    <mergeCell ref="A147:A154"/>
    <mergeCell ref="M107:M114"/>
    <mergeCell ref="N107:N114"/>
    <mergeCell ref="J115:J122"/>
    <mergeCell ref="K115:K122"/>
    <mergeCell ref="L115:L122"/>
    <mergeCell ref="L179:L186"/>
    <mergeCell ref="M179:M186"/>
    <mergeCell ref="N179:N186"/>
    <mergeCell ref="A187:A194"/>
    <mergeCell ref="B187:B194"/>
    <mergeCell ref="J187:J194"/>
    <mergeCell ref="K187:K194"/>
    <mergeCell ref="L187:L194"/>
    <mergeCell ref="M187:M194"/>
    <mergeCell ref="N187:N194"/>
    <mergeCell ref="A163:A170"/>
    <mergeCell ref="B163:B170"/>
    <mergeCell ref="J163:J170"/>
    <mergeCell ref="K163:K170"/>
    <mergeCell ref="L163:L170"/>
    <mergeCell ref="M163:M170"/>
    <mergeCell ref="N163:N170"/>
    <mergeCell ref="A171:A178"/>
    <mergeCell ref="B171:B178"/>
    <mergeCell ref="J171:J178"/>
    <mergeCell ref="K171:K178"/>
    <mergeCell ref="L171:L178"/>
    <mergeCell ref="M171:M178"/>
    <mergeCell ref="A211:A218"/>
    <mergeCell ref="B211:B218"/>
    <mergeCell ref="J211:J218"/>
    <mergeCell ref="K211:K218"/>
    <mergeCell ref="L211:L218"/>
    <mergeCell ref="M211:M218"/>
    <mergeCell ref="N211:N218"/>
    <mergeCell ref="A219:A226"/>
    <mergeCell ref="B219:B226"/>
    <mergeCell ref="J219:J226"/>
    <mergeCell ref="K219:K226"/>
    <mergeCell ref="L219:L226"/>
    <mergeCell ref="M219:M226"/>
    <mergeCell ref="N219:N226"/>
    <mergeCell ref="A195:A202"/>
    <mergeCell ref="B195:B202"/>
    <mergeCell ref="J195:J202"/>
    <mergeCell ref="K195:K202"/>
    <mergeCell ref="L195:L202"/>
    <mergeCell ref="M195:M202"/>
    <mergeCell ref="N195:N202"/>
    <mergeCell ref="A203:A210"/>
    <mergeCell ref="B203:B210"/>
    <mergeCell ref="J203:J210"/>
    <mergeCell ref="K203:K210"/>
    <mergeCell ref="L203:L210"/>
    <mergeCell ref="M203:M210"/>
    <mergeCell ref="N203:N210"/>
    <mergeCell ref="A236:A239"/>
    <mergeCell ref="B236:B239"/>
    <mergeCell ref="J236:J239"/>
    <mergeCell ref="K236:K239"/>
    <mergeCell ref="L236:L239"/>
    <mergeCell ref="M236:M239"/>
    <mergeCell ref="N236:N239"/>
    <mergeCell ref="A240:A243"/>
    <mergeCell ref="B240:B243"/>
    <mergeCell ref="J240:J243"/>
    <mergeCell ref="K240:K243"/>
    <mergeCell ref="L240:L243"/>
    <mergeCell ref="M240:M243"/>
    <mergeCell ref="N240:N243"/>
    <mergeCell ref="A228:A231"/>
    <mergeCell ref="A232:A235"/>
    <mergeCell ref="B232:B235"/>
    <mergeCell ref="J232:J235"/>
    <mergeCell ref="K232:K235"/>
    <mergeCell ref="L232:L235"/>
    <mergeCell ref="M232:M235"/>
    <mergeCell ref="N232:N235"/>
    <mergeCell ref="L228:L231"/>
    <mergeCell ref="M228:M231"/>
    <mergeCell ref="N228:N231"/>
    <mergeCell ref="B228:B231"/>
    <mergeCell ref="A252:A255"/>
    <mergeCell ref="B252:B255"/>
    <mergeCell ref="J252:J255"/>
    <mergeCell ref="K252:K255"/>
    <mergeCell ref="L252:L255"/>
    <mergeCell ref="M252:M255"/>
    <mergeCell ref="N252:N255"/>
    <mergeCell ref="A256:A259"/>
    <mergeCell ref="B256:B259"/>
    <mergeCell ref="J256:J259"/>
    <mergeCell ref="K256:K259"/>
    <mergeCell ref="L256:L259"/>
    <mergeCell ref="M256:M259"/>
    <mergeCell ref="N256:N259"/>
    <mergeCell ref="A244:A247"/>
    <mergeCell ref="B244:B247"/>
    <mergeCell ref="J244:J247"/>
    <mergeCell ref="K244:K247"/>
    <mergeCell ref="L244:L247"/>
    <mergeCell ref="M244:M247"/>
    <mergeCell ref="N244:N247"/>
    <mergeCell ref="A248:A251"/>
    <mergeCell ref="B248:B251"/>
    <mergeCell ref="J248:J251"/>
    <mergeCell ref="K248:K251"/>
    <mergeCell ref="L248:L251"/>
    <mergeCell ref="M248:M251"/>
    <mergeCell ref="N248:N251"/>
    <mergeCell ref="A268:A271"/>
    <mergeCell ref="B268:B271"/>
    <mergeCell ref="J268:J271"/>
    <mergeCell ref="K268:K271"/>
    <mergeCell ref="L268:L271"/>
    <mergeCell ref="M268:M271"/>
    <mergeCell ref="N268:N271"/>
    <mergeCell ref="A272:A275"/>
    <mergeCell ref="B272:B275"/>
    <mergeCell ref="J272:J275"/>
    <mergeCell ref="K272:K275"/>
    <mergeCell ref="L272:L275"/>
    <mergeCell ref="M272:M275"/>
    <mergeCell ref="N272:N275"/>
    <mergeCell ref="A260:A263"/>
    <mergeCell ref="B260:B263"/>
    <mergeCell ref="J260:J263"/>
    <mergeCell ref="K260:K263"/>
    <mergeCell ref="L260:L263"/>
    <mergeCell ref="M260:M263"/>
    <mergeCell ref="N260:N263"/>
    <mergeCell ref="A264:A267"/>
    <mergeCell ref="B264:B267"/>
    <mergeCell ref="J264:J267"/>
    <mergeCell ref="K264:K267"/>
    <mergeCell ref="L264:L267"/>
    <mergeCell ref="M264:M267"/>
    <mergeCell ref="N264:N267"/>
    <mergeCell ref="A284:A287"/>
    <mergeCell ref="B284:B287"/>
    <mergeCell ref="J284:J287"/>
    <mergeCell ref="K284:K287"/>
    <mergeCell ref="L284:L287"/>
    <mergeCell ref="M284:M287"/>
    <mergeCell ref="N284:N287"/>
    <mergeCell ref="A288:A291"/>
    <mergeCell ref="B288:B291"/>
    <mergeCell ref="J288:J291"/>
    <mergeCell ref="K288:K291"/>
    <mergeCell ref="L288:L291"/>
    <mergeCell ref="M288:M291"/>
    <mergeCell ref="N288:N291"/>
    <mergeCell ref="A276:A279"/>
    <mergeCell ref="B276:B279"/>
    <mergeCell ref="J276:J279"/>
    <mergeCell ref="K276:K279"/>
    <mergeCell ref="L276:L279"/>
    <mergeCell ref="M276:M279"/>
    <mergeCell ref="N276:N279"/>
    <mergeCell ref="A280:A283"/>
    <mergeCell ref="B280:B283"/>
    <mergeCell ref="J280:J283"/>
    <mergeCell ref="K280:K283"/>
    <mergeCell ref="L280:L283"/>
    <mergeCell ref="M280:M283"/>
    <mergeCell ref="N280:N283"/>
    <mergeCell ref="A300:A303"/>
    <mergeCell ref="B300:B303"/>
    <mergeCell ref="J300:J303"/>
    <mergeCell ref="K300:K303"/>
    <mergeCell ref="L300:L303"/>
    <mergeCell ref="M300:M303"/>
    <mergeCell ref="N300:N303"/>
    <mergeCell ref="A304:A307"/>
    <mergeCell ref="B304:B307"/>
    <mergeCell ref="J304:J307"/>
    <mergeCell ref="K304:K307"/>
    <mergeCell ref="L304:L307"/>
    <mergeCell ref="M304:M307"/>
    <mergeCell ref="N304:N307"/>
    <mergeCell ref="A292:A295"/>
    <mergeCell ref="B292:B295"/>
    <mergeCell ref="J292:J295"/>
    <mergeCell ref="K292:K295"/>
    <mergeCell ref="L292:L295"/>
    <mergeCell ref="M292:M295"/>
    <mergeCell ref="N292:N295"/>
    <mergeCell ref="A296:A299"/>
    <mergeCell ref="B296:B299"/>
    <mergeCell ref="J296:J299"/>
    <mergeCell ref="K296:K299"/>
    <mergeCell ref="L296:L299"/>
    <mergeCell ref="M296:M299"/>
    <mergeCell ref="N296:N299"/>
    <mergeCell ref="A316:A319"/>
    <mergeCell ref="B316:B319"/>
    <mergeCell ref="J316:J319"/>
    <mergeCell ref="K316:K319"/>
    <mergeCell ref="L316:L319"/>
    <mergeCell ref="M316:M319"/>
    <mergeCell ref="N316:N319"/>
    <mergeCell ref="A320:A323"/>
    <mergeCell ref="B320:B323"/>
    <mergeCell ref="J320:J323"/>
    <mergeCell ref="K320:K323"/>
    <mergeCell ref="L320:L323"/>
    <mergeCell ref="M320:M323"/>
    <mergeCell ref="N320:N323"/>
    <mergeCell ref="A308:A311"/>
    <mergeCell ref="B308:B311"/>
    <mergeCell ref="J308:J311"/>
    <mergeCell ref="K308:K311"/>
    <mergeCell ref="L308:L311"/>
    <mergeCell ref="M308:M311"/>
    <mergeCell ref="N308:N311"/>
    <mergeCell ref="A312:A315"/>
    <mergeCell ref="B312:B315"/>
    <mergeCell ref="J312:J315"/>
    <mergeCell ref="K312:K315"/>
    <mergeCell ref="L312:L315"/>
    <mergeCell ref="M312:M315"/>
    <mergeCell ref="N312:N315"/>
    <mergeCell ref="A332:A335"/>
    <mergeCell ref="B332:B335"/>
    <mergeCell ref="J332:J335"/>
    <mergeCell ref="K332:K335"/>
    <mergeCell ref="L332:L335"/>
    <mergeCell ref="M332:M335"/>
    <mergeCell ref="N332:N335"/>
    <mergeCell ref="A336:A339"/>
    <mergeCell ref="B336:B339"/>
    <mergeCell ref="J336:J339"/>
    <mergeCell ref="K336:K339"/>
    <mergeCell ref="L336:L339"/>
    <mergeCell ref="M336:M339"/>
    <mergeCell ref="N336:N339"/>
    <mergeCell ref="A324:A327"/>
    <mergeCell ref="B324:B327"/>
    <mergeCell ref="J324:J327"/>
    <mergeCell ref="K324:K327"/>
    <mergeCell ref="L324:L327"/>
    <mergeCell ref="M324:M327"/>
    <mergeCell ref="N324:N327"/>
    <mergeCell ref="A328:A331"/>
    <mergeCell ref="B328:B331"/>
    <mergeCell ref="J328:J331"/>
    <mergeCell ref="K328:K331"/>
    <mergeCell ref="L328:L331"/>
    <mergeCell ref="M328:M331"/>
    <mergeCell ref="N328:N331"/>
    <mergeCell ref="A348:A351"/>
    <mergeCell ref="B348:B351"/>
    <mergeCell ref="J348:J351"/>
    <mergeCell ref="K348:K351"/>
    <mergeCell ref="L348:L351"/>
    <mergeCell ref="M348:M351"/>
    <mergeCell ref="N348:N351"/>
    <mergeCell ref="A352:A355"/>
    <mergeCell ref="B352:B355"/>
    <mergeCell ref="J352:J355"/>
    <mergeCell ref="K352:K355"/>
    <mergeCell ref="L352:L355"/>
    <mergeCell ref="M352:M355"/>
    <mergeCell ref="N352:N355"/>
    <mergeCell ref="A340:A343"/>
    <mergeCell ref="B340:B343"/>
    <mergeCell ref="J340:J343"/>
    <mergeCell ref="K340:K343"/>
    <mergeCell ref="L340:L343"/>
    <mergeCell ref="M340:M343"/>
    <mergeCell ref="N340:N343"/>
    <mergeCell ref="A344:A347"/>
    <mergeCell ref="B344:B347"/>
    <mergeCell ref="J344:J347"/>
    <mergeCell ref="K344:K347"/>
    <mergeCell ref="L344:L347"/>
    <mergeCell ref="M344:M347"/>
    <mergeCell ref="N344:N347"/>
    <mergeCell ref="A369:A372"/>
    <mergeCell ref="B369:B372"/>
    <mergeCell ref="J369:J372"/>
    <mergeCell ref="K369:K372"/>
    <mergeCell ref="L369:L372"/>
    <mergeCell ref="M369:M372"/>
    <mergeCell ref="N369:N372"/>
    <mergeCell ref="A373:A376"/>
    <mergeCell ref="B373:B376"/>
    <mergeCell ref="J373:J376"/>
    <mergeCell ref="K373:K376"/>
    <mergeCell ref="L373:L376"/>
    <mergeCell ref="M373:M376"/>
    <mergeCell ref="N373:N376"/>
    <mergeCell ref="A357:A360"/>
    <mergeCell ref="A361:A364"/>
    <mergeCell ref="B361:B364"/>
    <mergeCell ref="J361:J364"/>
    <mergeCell ref="K361:K364"/>
    <mergeCell ref="L361:L364"/>
    <mergeCell ref="M361:M364"/>
    <mergeCell ref="N361:N364"/>
    <mergeCell ref="A365:A368"/>
    <mergeCell ref="B365:B368"/>
    <mergeCell ref="J365:J368"/>
    <mergeCell ref="K365:K368"/>
    <mergeCell ref="L365:L368"/>
    <mergeCell ref="M365:M368"/>
    <mergeCell ref="N365:N368"/>
    <mergeCell ref="B357:B360"/>
    <mergeCell ref="L357:L360"/>
    <mergeCell ref="M357:M360"/>
    <mergeCell ref="A385:A388"/>
    <mergeCell ref="B385:B388"/>
    <mergeCell ref="J385:J388"/>
    <mergeCell ref="K385:K388"/>
    <mergeCell ref="L385:L388"/>
    <mergeCell ref="M385:M388"/>
    <mergeCell ref="N385:N388"/>
    <mergeCell ref="A389:A392"/>
    <mergeCell ref="B389:B392"/>
    <mergeCell ref="J389:J392"/>
    <mergeCell ref="K389:K392"/>
    <mergeCell ref="L389:L392"/>
    <mergeCell ref="M389:M392"/>
    <mergeCell ref="N389:N392"/>
    <mergeCell ref="A377:A380"/>
    <mergeCell ref="B377:B380"/>
    <mergeCell ref="J377:J380"/>
    <mergeCell ref="K377:K380"/>
    <mergeCell ref="L377:L380"/>
    <mergeCell ref="M377:M380"/>
    <mergeCell ref="N377:N380"/>
    <mergeCell ref="A381:A384"/>
    <mergeCell ref="B381:B384"/>
    <mergeCell ref="J381:J384"/>
    <mergeCell ref="K381:K384"/>
    <mergeCell ref="L381:L384"/>
    <mergeCell ref="M381:M384"/>
    <mergeCell ref="N381:N384"/>
    <mergeCell ref="A401:A404"/>
    <mergeCell ref="B401:B404"/>
    <mergeCell ref="J401:J404"/>
    <mergeCell ref="K401:K404"/>
    <mergeCell ref="L401:L404"/>
    <mergeCell ref="M401:M404"/>
    <mergeCell ref="N401:N404"/>
    <mergeCell ref="A405:A408"/>
    <mergeCell ref="B405:B408"/>
    <mergeCell ref="J405:J408"/>
    <mergeCell ref="K405:K408"/>
    <mergeCell ref="L405:L408"/>
    <mergeCell ref="M405:M408"/>
    <mergeCell ref="N405:N408"/>
    <mergeCell ref="A393:A396"/>
    <mergeCell ref="B393:B396"/>
    <mergeCell ref="J393:J396"/>
    <mergeCell ref="K393:K396"/>
    <mergeCell ref="L393:L396"/>
    <mergeCell ref="M393:M396"/>
    <mergeCell ref="N393:N396"/>
    <mergeCell ref="A397:A400"/>
    <mergeCell ref="B397:B400"/>
    <mergeCell ref="J397:J400"/>
    <mergeCell ref="K397:K400"/>
    <mergeCell ref="L397:L400"/>
    <mergeCell ref="M397:M400"/>
    <mergeCell ref="N397:N400"/>
    <mergeCell ref="A417:A420"/>
    <mergeCell ref="B417:B420"/>
    <mergeCell ref="J417:J420"/>
    <mergeCell ref="K417:K420"/>
    <mergeCell ref="L417:L420"/>
    <mergeCell ref="M417:M420"/>
    <mergeCell ref="N417:N420"/>
    <mergeCell ref="A422:A425"/>
    <mergeCell ref="B422:B425"/>
    <mergeCell ref="J422:J425"/>
    <mergeCell ref="K422:K425"/>
    <mergeCell ref="L422:L425"/>
    <mergeCell ref="M422:M425"/>
    <mergeCell ref="N422:N425"/>
    <mergeCell ref="A409:A412"/>
    <mergeCell ref="B409:B412"/>
    <mergeCell ref="J409:J412"/>
    <mergeCell ref="K409:K412"/>
    <mergeCell ref="L409:L412"/>
    <mergeCell ref="M409:M412"/>
    <mergeCell ref="N409:N412"/>
    <mergeCell ref="A413:A416"/>
    <mergeCell ref="B413:B416"/>
    <mergeCell ref="J413:J416"/>
    <mergeCell ref="K413:K416"/>
    <mergeCell ref="L413:L416"/>
    <mergeCell ref="M413:M416"/>
    <mergeCell ref="N413:N416"/>
    <mergeCell ref="A434:A437"/>
    <mergeCell ref="B434:B437"/>
    <mergeCell ref="J434:J437"/>
    <mergeCell ref="K434:K437"/>
    <mergeCell ref="L434:L437"/>
    <mergeCell ref="M434:M437"/>
    <mergeCell ref="N434:N437"/>
    <mergeCell ref="A438:A441"/>
    <mergeCell ref="B438:B441"/>
    <mergeCell ref="J438:J441"/>
    <mergeCell ref="K438:K441"/>
    <mergeCell ref="L438:L441"/>
    <mergeCell ref="M438:M441"/>
    <mergeCell ref="N438:N441"/>
    <mergeCell ref="A426:A429"/>
    <mergeCell ref="B426:B429"/>
    <mergeCell ref="J426:J429"/>
    <mergeCell ref="K426:K429"/>
    <mergeCell ref="L426:L429"/>
    <mergeCell ref="M426:M429"/>
    <mergeCell ref="N426:N429"/>
    <mergeCell ref="A430:A433"/>
    <mergeCell ref="B430:B433"/>
    <mergeCell ref="J430:J433"/>
    <mergeCell ref="K430:K433"/>
    <mergeCell ref="L430:L433"/>
    <mergeCell ref="M430:M433"/>
    <mergeCell ref="N430:N433"/>
    <mergeCell ref="A450:A453"/>
    <mergeCell ref="B450:B453"/>
    <mergeCell ref="J450:J453"/>
    <mergeCell ref="K450:K453"/>
    <mergeCell ref="L450:L453"/>
    <mergeCell ref="M450:M453"/>
    <mergeCell ref="N450:N453"/>
    <mergeCell ref="A454:A457"/>
    <mergeCell ref="B454:B457"/>
    <mergeCell ref="J454:J457"/>
    <mergeCell ref="K454:K457"/>
    <mergeCell ref="L454:L457"/>
    <mergeCell ref="M454:M457"/>
    <mergeCell ref="N454:N457"/>
    <mergeCell ref="A442:A445"/>
    <mergeCell ref="B442:B445"/>
    <mergeCell ref="J442:J445"/>
    <mergeCell ref="K442:K445"/>
    <mergeCell ref="L442:L445"/>
    <mergeCell ref="M442:M445"/>
    <mergeCell ref="N442:N445"/>
    <mergeCell ref="A446:A449"/>
    <mergeCell ref="B446:B449"/>
    <mergeCell ref="J446:J449"/>
    <mergeCell ref="K446:K449"/>
    <mergeCell ref="L446:L449"/>
    <mergeCell ref="M446:M449"/>
    <mergeCell ref="N446:N449"/>
    <mergeCell ref="A466:A469"/>
    <mergeCell ref="B466:B469"/>
    <mergeCell ref="J466:J469"/>
    <mergeCell ref="K466:K469"/>
    <mergeCell ref="L466:L469"/>
    <mergeCell ref="M466:M469"/>
    <mergeCell ref="N466:N469"/>
    <mergeCell ref="A470:A473"/>
    <mergeCell ref="B470:B473"/>
    <mergeCell ref="J470:J473"/>
    <mergeCell ref="K470:K473"/>
    <mergeCell ref="L470:L473"/>
    <mergeCell ref="M470:M473"/>
    <mergeCell ref="N470:N473"/>
    <mergeCell ref="A458:A461"/>
    <mergeCell ref="B458:B461"/>
    <mergeCell ref="J458:J461"/>
    <mergeCell ref="K458:K461"/>
    <mergeCell ref="L458:L461"/>
    <mergeCell ref="M458:M461"/>
    <mergeCell ref="N458:N461"/>
    <mergeCell ref="A462:A465"/>
    <mergeCell ref="B462:B465"/>
    <mergeCell ref="J462:J465"/>
    <mergeCell ref="K462:K465"/>
    <mergeCell ref="L462:L465"/>
    <mergeCell ref="M462:M465"/>
    <mergeCell ref="N462:N465"/>
    <mergeCell ref="A482:A485"/>
    <mergeCell ref="B482:B485"/>
    <mergeCell ref="J482:J485"/>
    <mergeCell ref="K482:K485"/>
    <mergeCell ref="L482:L485"/>
    <mergeCell ref="M482:M485"/>
    <mergeCell ref="N482:N485"/>
    <mergeCell ref="A487:A493"/>
    <mergeCell ref="A494:A500"/>
    <mergeCell ref="B494:B500"/>
    <mergeCell ref="J494:J500"/>
    <mergeCell ref="K494:K500"/>
    <mergeCell ref="L494:L500"/>
    <mergeCell ref="M494:M500"/>
    <mergeCell ref="N494:N500"/>
    <mergeCell ref="A474:A477"/>
    <mergeCell ref="B474:B477"/>
    <mergeCell ref="J474:J477"/>
    <mergeCell ref="K474:K477"/>
    <mergeCell ref="L474:L477"/>
    <mergeCell ref="M474:M477"/>
    <mergeCell ref="N474:N477"/>
    <mergeCell ref="A478:A481"/>
    <mergeCell ref="B478:B481"/>
    <mergeCell ref="J478:J481"/>
    <mergeCell ref="K478:K481"/>
    <mergeCell ref="L478:L481"/>
    <mergeCell ref="M478:M481"/>
    <mergeCell ref="N478:N481"/>
    <mergeCell ref="B487:B493"/>
    <mergeCell ref="J487:J493"/>
    <mergeCell ref="A515:A521"/>
    <mergeCell ref="B515:B521"/>
    <mergeCell ref="J515:J521"/>
    <mergeCell ref="K515:K521"/>
    <mergeCell ref="L515:L521"/>
    <mergeCell ref="M515:M521"/>
    <mergeCell ref="N515:N521"/>
    <mergeCell ref="A522:A528"/>
    <mergeCell ref="B522:B528"/>
    <mergeCell ref="J522:J528"/>
    <mergeCell ref="K522:K528"/>
    <mergeCell ref="L522:L528"/>
    <mergeCell ref="M522:M528"/>
    <mergeCell ref="N522:N528"/>
    <mergeCell ref="A501:A507"/>
    <mergeCell ref="B501:B507"/>
    <mergeCell ref="J501:J507"/>
    <mergeCell ref="K501:K507"/>
    <mergeCell ref="L501:L507"/>
    <mergeCell ref="M501:M507"/>
    <mergeCell ref="N501:N507"/>
    <mergeCell ref="A508:A514"/>
    <mergeCell ref="B508:B514"/>
    <mergeCell ref="J508:J514"/>
    <mergeCell ref="K508:K514"/>
    <mergeCell ref="L508:L514"/>
    <mergeCell ref="M508:M514"/>
    <mergeCell ref="N508:N514"/>
    <mergeCell ref="A543:A549"/>
    <mergeCell ref="B543:B549"/>
    <mergeCell ref="J543:J549"/>
    <mergeCell ref="K543:K549"/>
    <mergeCell ref="L543:L549"/>
    <mergeCell ref="M543:M549"/>
    <mergeCell ref="N543:N549"/>
    <mergeCell ref="A550:A556"/>
    <mergeCell ref="B550:B556"/>
    <mergeCell ref="J550:J556"/>
    <mergeCell ref="K550:K556"/>
    <mergeCell ref="L550:L556"/>
    <mergeCell ref="M550:M556"/>
    <mergeCell ref="N550:N556"/>
    <mergeCell ref="A529:A535"/>
    <mergeCell ref="B529:B535"/>
    <mergeCell ref="J529:J535"/>
    <mergeCell ref="K529:K535"/>
    <mergeCell ref="L529:L535"/>
    <mergeCell ref="M529:M535"/>
    <mergeCell ref="N529:N535"/>
    <mergeCell ref="A536:A542"/>
    <mergeCell ref="B536:B542"/>
    <mergeCell ref="J536:J542"/>
    <mergeCell ref="K536:K542"/>
    <mergeCell ref="L536:L542"/>
    <mergeCell ref="M536:M542"/>
    <mergeCell ref="N536:N542"/>
    <mergeCell ref="A571:A577"/>
    <mergeCell ref="B571:B577"/>
    <mergeCell ref="J571:J577"/>
    <mergeCell ref="K571:K577"/>
    <mergeCell ref="L571:L577"/>
    <mergeCell ref="M571:M577"/>
    <mergeCell ref="N571:N577"/>
    <mergeCell ref="A578:A584"/>
    <mergeCell ref="B578:B584"/>
    <mergeCell ref="J578:J584"/>
    <mergeCell ref="K578:K584"/>
    <mergeCell ref="L578:L584"/>
    <mergeCell ref="M578:M584"/>
    <mergeCell ref="N578:N584"/>
    <mergeCell ref="A557:A563"/>
    <mergeCell ref="B557:B563"/>
    <mergeCell ref="J557:J563"/>
    <mergeCell ref="K557:K563"/>
    <mergeCell ref="L557:L563"/>
    <mergeCell ref="M557:M563"/>
    <mergeCell ref="N557:N563"/>
    <mergeCell ref="A564:A570"/>
    <mergeCell ref="B564:B570"/>
    <mergeCell ref="J564:J570"/>
    <mergeCell ref="K564:K570"/>
    <mergeCell ref="L564:L570"/>
    <mergeCell ref="M564:M570"/>
    <mergeCell ref="N564:N570"/>
    <mergeCell ref="A599:A605"/>
    <mergeCell ref="B599:B605"/>
    <mergeCell ref="J599:J605"/>
    <mergeCell ref="K599:K605"/>
    <mergeCell ref="L599:L605"/>
    <mergeCell ref="M599:M605"/>
    <mergeCell ref="N599:N605"/>
    <mergeCell ref="A606:A612"/>
    <mergeCell ref="B606:B612"/>
    <mergeCell ref="J606:J612"/>
    <mergeCell ref="K606:K612"/>
    <mergeCell ref="L606:L612"/>
    <mergeCell ref="M606:M612"/>
    <mergeCell ref="N606:N612"/>
    <mergeCell ref="A585:A591"/>
    <mergeCell ref="B585:B591"/>
    <mergeCell ref="J585:J591"/>
    <mergeCell ref="K585:K591"/>
    <mergeCell ref="L585:L591"/>
    <mergeCell ref="M585:M591"/>
    <mergeCell ref="N585:N591"/>
    <mergeCell ref="A592:A598"/>
    <mergeCell ref="B592:B598"/>
    <mergeCell ref="J592:J598"/>
    <mergeCell ref="K592:K598"/>
    <mergeCell ref="L592:L598"/>
    <mergeCell ref="M592:M598"/>
    <mergeCell ref="N592:N598"/>
    <mergeCell ref="A627:A633"/>
    <mergeCell ref="B627:B633"/>
    <mergeCell ref="J627:J633"/>
    <mergeCell ref="K627:K633"/>
    <mergeCell ref="L627:L633"/>
    <mergeCell ref="M627:M633"/>
    <mergeCell ref="N627:N633"/>
    <mergeCell ref="A634:A640"/>
    <mergeCell ref="B634:B640"/>
    <mergeCell ref="J634:J640"/>
    <mergeCell ref="K634:K640"/>
    <mergeCell ref="L634:L640"/>
    <mergeCell ref="M634:M640"/>
    <mergeCell ref="N634:N640"/>
    <mergeCell ref="A613:A619"/>
    <mergeCell ref="B613:B619"/>
    <mergeCell ref="J613:J619"/>
    <mergeCell ref="K613:K619"/>
    <mergeCell ref="L613:L619"/>
    <mergeCell ref="M613:M619"/>
    <mergeCell ref="N613:N619"/>
    <mergeCell ref="A620:A626"/>
    <mergeCell ref="B620:B626"/>
    <mergeCell ref="J620:J626"/>
    <mergeCell ref="K620:K626"/>
    <mergeCell ref="L620:L626"/>
    <mergeCell ref="M620:M626"/>
    <mergeCell ref="N620:N626"/>
    <mergeCell ref="A655:A661"/>
    <mergeCell ref="B655:B661"/>
    <mergeCell ref="J655:J661"/>
    <mergeCell ref="K655:K661"/>
    <mergeCell ref="L655:L661"/>
    <mergeCell ref="M655:M661"/>
    <mergeCell ref="N655:N661"/>
    <mergeCell ref="A641:A647"/>
    <mergeCell ref="B641:B647"/>
    <mergeCell ref="J641:J647"/>
    <mergeCell ref="K641:K647"/>
    <mergeCell ref="L641:L647"/>
    <mergeCell ref="M641:M647"/>
    <mergeCell ref="N641:N647"/>
    <mergeCell ref="A648:A654"/>
    <mergeCell ref="B648:B654"/>
    <mergeCell ref="J648:J654"/>
    <mergeCell ref="K648:K654"/>
    <mergeCell ref="L648:L654"/>
    <mergeCell ref="M648:M654"/>
    <mergeCell ref="N648:N654"/>
    <mergeCell ref="A690:A696"/>
    <mergeCell ref="B690:B696"/>
    <mergeCell ref="J690:J696"/>
    <mergeCell ref="K690:K696"/>
    <mergeCell ref="L690:L696"/>
    <mergeCell ref="M690:M696"/>
    <mergeCell ref="N690:N696"/>
    <mergeCell ref="A669:A675"/>
    <mergeCell ref="B669:B675"/>
    <mergeCell ref="J669:J675"/>
    <mergeCell ref="K669:K675"/>
    <mergeCell ref="L669:L675"/>
    <mergeCell ref="M669:M675"/>
    <mergeCell ref="N669:N675"/>
    <mergeCell ref="A676:A682"/>
    <mergeCell ref="B676:B682"/>
    <mergeCell ref="J676:J682"/>
    <mergeCell ref="K676:K682"/>
    <mergeCell ref="L676:L682"/>
    <mergeCell ref="M676:M682"/>
    <mergeCell ref="N676:N682"/>
    <mergeCell ref="A711:A717"/>
    <mergeCell ref="B711:B717"/>
    <mergeCell ref="J711:J717"/>
    <mergeCell ref="K711:K717"/>
    <mergeCell ref="L711:L717"/>
    <mergeCell ref="M711:M717"/>
    <mergeCell ref="N711:N717"/>
    <mergeCell ref="N662:N668"/>
    <mergeCell ref="M662:M668"/>
    <mergeCell ref="L662:L668"/>
    <mergeCell ref="K662:K668"/>
    <mergeCell ref="J662:J668"/>
    <mergeCell ref="B662:B668"/>
    <mergeCell ref="A662:A668"/>
    <mergeCell ref="A697:A703"/>
    <mergeCell ref="B697:B703"/>
    <mergeCell ref="J697:J703"/>
    <mergeCell ref="K697:K703"/>
    <mergeCell ref="L697:L703"/>
    <mergeCell ref="M697:M703"/>
    <mergeCell ref="N697:N703"/>
    <mergeCell ref="A704:A710"/>
    <mergeCell ref="B704:B710"/>
    <mergeCell ref="J704:J710"/>
    <mergeCell ref="K704:K710"/>
    <mergeCell ref="L704:L710"/>
    <mergeCell ref="M704:M710"/>
    <mergeCell ref="N704:N710"/>
    <mergeCell ref="A683:A689"/>
    <mergeCell ref="B683:B689"/>
    <mergeCell ref="J683:J689"/>
    <mergeCell ref="K683:K689"/>
    <mergeCell ref="A732:A738"/>
    <mergeCell ref="B732:B738"/>
    <mergeCell ref="J732:J738"/>
    <mergeCell ref="K732:K738"/>
    <mergeCell ref="L732:L738"/>
    <mergeCell ref="M732:M738"/>
    <mergeCell ref="N732:N738"/>
    <mergeCell ref="A739:A745"/>
    <mergeCell ref="B739:B745"/>
    <mergeCell ref="J739:J745"/>
    <mergeCell ref="K739:K745"/>
    <mergeCell ref="L739:L745"/>
    <mergeCell ref="M739:M745"/>
    <mergeCell ref="N739:N745"/>
    <mergeCell ref="A718:A724"/>
    <mergeCell ref="B718:B724"/>
    <mergeCell ref="J718:J724"/>
    <mergeCell ref="K718:K724"/>
    <mergeCell ref="L718:L724"/>
    <mergeCell ref="M718:M724"/>
    <mergeCell ref="N718:N724"/>
    <mergeCell ref="A725:A731"/>
    <mergeCell ref="B725:B731"/>
    <mergeCell ref="J725:J731"/>
    <mergeCell ref="K725:K731"/>
    <mergeCell ref="L725:L731"/>
    <mergeCell ref="M725:M731"/>
    <mergeCell ref="N725:N731"/>
    <mergeCell ref="A760:A766"/>
    <mergeCell ref="B760:B766"/>
    <mergeCell ref="J760:J766"/>
    <mergeCell ref="K760:K766"/>
    <mergeCell ref="L760:L766"/>
    <mergeCell ref="M760:M766"/>
    <mergeCell ref="N760:N766"/>
    <mergeCell ref="A767:A773"/>
    <mergeCell ref="B767:B773"/>
    <mergeCell ref="J767:J773"/>
    <mergeCell ref="K767:K773"/>
    <mergeCell ref="L767:L773"/>
    <mergeCell ref="M767:M773"/>
    <mergeCell ref="N767:N773"/>
    <mergeCell ref="A746:A752"/>
    <mergeCell ref="B746:B752"/>
    <mergeCell ref="J746:J752"/>
    <mergeCell ref="K746:K752"/>
    <mergeCell ref="L746:L752"/>
    <mergeCell ref="M746:M752"/>
    <mergeCell ref="N746:N752"/>
    <mergeCell ref="A753:A759"/>
    <mergeCell ref="B753:B759"/>
    <mergeCell ref="J753:J759"/>
    <mergeCell ref="K753:K759"/>
    <mergeCell ref="L753:L759"/>
    <mergeCell ref="M753:M759"/>
    <mergeCell ref="N753:N759"/>
    <mergeCell ref="A788:A794"/>
    <mergeCell ref="B788:B794"/>
    <mergeCell ref="J788:J794"/>
    <mergeCell ref="K788:K794"/>
    <mergeCell ref="L788:L794"/>
    <mergeCell ref="M788:M794"/>
    <mergeCell ref="N788:N794"/>
    <mergeCell ref="A795:A801"/>
    <mergeCell ref="B795:B801"/>
    <mergeCell ref="J795:J801"/>
    <mergeCell ref="K795:K801"/>
    <mergeCell ref="L795:L801"/>
    <mergeCell ref="M795:M801"/>
    <mergeCell ref="N795:N801"/>
    <mergeCell ref="A774:A780"/>
    <mergeCell ref="B774:B780"/>
    <mergeCell ref="J774:J780"/>
    <mergeCell ref="K774:K780"/>
    <mergeCell ref="L774:L780"/>
    <mergeCell ref="M774:M780"/>
    <mergeCell ref="N774:N780"/>
    <mergeCell ref="A781:A787"/>
    <mergeCell ref="B781:B787"/>
    <mergeCell ref="J781:J787"/>
    <mergeCell ref="K781:K787"/>
    <mergeCell ref="L781:L787"/>
    <mergeCell ref="M781:M787"/>
    <mergeCell ref="N781:N787"/>
    <mergeCell ref="A816:A822"/>
    <mergeCell ref="B816:B822"/>
    <mergeCell ref="J816:J822"/>
    <mergeCell ref="K816:K822"/>
    <mergeCell ref="L816:L822"/>
    <mergeCell ref="M816:M822"/>
    <mergeCell ref="N816:N822"/>
    <mergeCell ref="A823:A829"/>
    <mergeCell ref="B823:B829"/>
    <mergeCell ref="J823:J829"/>
    <mergeCell ref="K823:K829"/>
    <mergeCell ref="L823:L829"/>
    <mergeCell ref="M823:M829"/>
    <mergeCell ref="N823:N829"/>
    <mergeCell ref="A802:A808"/>
    <mergeCell ref="B802:B808"/>
    <mergeCell ref="J802:J808"/>
    <mergeCell ref="K802:K808"/>
    <mergeCell ref="L802:L808"/>
    <mergeCell ref="M802:M808"/>
    <mergeCell ref="N802:N808"/>
    <mergeCell ref="A809:A815"/>
    <mergeCell ref="B809:B815"/>
    <mergeCell ref="J809:J815"/>
    <mergeCell ref="K809:K815"/>
    <mergeCell ref="L809:L815"/>
    <mergeCell ref="M809:M815"/>
    <mergeCell ref="N809:N815"/>
    <mergeCell ref="A844:A850"/>
    <mergeCell ref="B844:B850"/>
    <mergeCell ref="J844:J850"/>
    <mergeCell ref="K844:K850"/>
    <mergeCell ref="L844:L850"/>
    <mergeCell ref="M844:M850"/>
    <mergeCell ref="N844:N850"/>
    <mergeCell ref="A851:A857"/>
    <mergeCell ref="B851:B857"/>
    <mergeCell ref="J851:J857"/>
    <mergeCell ref="K851:K857"/>
    <mergeCell ref="L851:L857"/>
    <mergeCell ref="M851:M857"/>
    <mergeCell ref="N851:N857"/>
    <mergeCell ref="A830:A836"/>
    <mergeCell ref="B830:B836"/>
    <mergeCell ref="J830:J836"/>
    <mergeCell ref="K830:K836"/>
    <mergeCell ref="L830:L836"/>
    <mergeCell ref="M830:M836"/>
    <mergeCell ref="N830:N836"/>
    <mergeCell ref="A837:A843"/>
    <mergeCell ref="B837:B843"/>
    <mergeCell ref="J837:J843"/>
    <mergeCell ref="K837:K843"/>
    <mergeCell ref="L837:L843"/>
    <mergeCell ref="M837:M843"/>
    <mergeCell ref="N837:N843"/>
    <mergeCell ref="A872:A878"/>
    <mergeCell ref="B872:B878"/>
    <mergeCell ref="J872:J878"/>
    <mergeCell ref="K872:K878"/>
    <mergeCell ref="L872:L878"/>
    <mergeCell ref="M872:M878"/>
    <mergeCell ref="N872:N878"/>
    <mergeCell ref="A879:A885"/>
    <mergeCell ref="B879:B885"/>
    <mergeCell ref="J879:J885"/>
    <mergeCell ref="K879:K885"/>
    <mergeCell ref="L879:L885"/>
    <mergeCell ref="M879:M885"/>
    <mergeCell ref="N879:N885"/>
    <mergeCell ref="A858:A864"/>
    <mergeCell ref="B858:B864"/>
    <mergeCell ref="J858:J864"/>
    <mergeCell ref="K858:K864"/>
    <mergeCell ref="L858:L864"/>
    <mergeCell ref="M858:M864"/>
    <mergeCell ref="N858:N864"/>
    <mergeCell ref="A865:A871"/>
    <mergeCell ref="B865:B871"/>
    <mergeCell ref="J865:J871"/>
    <mergeCell ref="K865:K871"/>
    <mergeCell ref="L865:L871"/>
    <mergeCell ref="M865:M871"/>
    <mergeCell ref="N865:N871"/>
    <mergeCell ref="M900:M906"/>
    <mergeCell ref="N900:N906"/>
    <mergeCell ref="A907:A913"/>
    <mergeCell ref="B907:B913"/>
    <mergeCell ref="J907:J913"/>
    <mergeCell ref="K907:K913"/>
    <mergeCell ref="L907:L913"/>
    <mergeCell ref="M907:M913"/>
    <mergeCell ref="N907:N913"/>
    <mergeCell ref="A886:A892"/>
    <mergeCell ref="B886:B892"/>
    <mergeCell ref="J886:J892"/>
    <mergeCell ref="K886:K892"/>
    <mergeCell ref="L886:L892"/>
    <mergeCell ref="M886:M892"/>
    <mergeCell ref="N886:N892"/>
    <mergeCell ref="A893:A899"/>
    <mergeCell ref="B893:B899"/>
    <mergeCell ref="J893:J899"/>
    <mergeCell ref="K893:K899"/>
    <mergeCell ref="L893:L899"/>
    <mergeCell ref="M893:M899"/>
    <mergeCell ref="N893:N899"/>
    <mergeCell ref="C941:C942"/>
    <mergeCell ref="C943:C944"/>
    <mergeCell ref="E943:E944"/>
    <mergeCell ref="G943:G944"/>
    <mergeCell ref="H943:H944"/>
    <mergeCell ref="I943:I944"/>
    <mergeCell ref="B943:B944"/>
    <mergeCell ref="B936:B940"/>
    <mergeCell ref="A900:A906"/>
    <mergeCell ref="B900:B906"/>
    <mergeCell ref="J900:J906"/>
    <mergeCell ref="K900:K906"/>
    <mergeCell ref="L900:L906"/>
    <mergeCell ref="A914:A920"/>
    <mergeCell ref="B914:B920"/>
    <mergeCell ref="J914:J920"/>
    <mergeCell ref="K914:K920"/>
    <mergeCell ref="M914:M920"/>
    <mergeCell ref="N914:N920"/>
    <mergeCell ref="A921:A927"/>
    <mergeCell ref="B921:B927"/>
    <mergeCell ref="J921:J927"/>
    <mergeCell ref="K921:K927"/>
    <mergeCell ref="L921:L927"/>
    <mergeCell ref="M921:M927"/>
    <mergeCell ref="N921:N927"/>
    <mergeCell ref="G945:G946"/>
    <mergeCell ref="H945:H946"/>
    <mergeCell ref="I945:I946"/>
    <mergeCell ref="A936:A940"/>
    <mergeCell ref="D943:D944"/>
    <mergeCell ref="D941:D942"/>
    <mergeCell ref="F943:F944"/>
    <mergeCell ref="F941:F942"/>
    <mergeCell ref="A941:A942"/>
    <mergeCell ref="A943:A944"/>
    <mergeCell ref="A945:A946"/>
    <mergeCell ref="B945:B946"/>
    <mergeCell ref="C945:C946"/>
    <mergeCell ref="D945:D946"/>
    <mergeCell ref="E945:E946"/>
    <mergeCell ref="F945:F946"/>
    <mergeCell ref="A928:A934"/>
    <mergeCell ref="B928:B934"/>
    <mergeCell ref="B941:B942"/>
    <mergeCell ref="I941:I942"/>
    <mergeCell ref="H941:H942"/>
    <mergeCell ref="G941:G942"/>
    <mergeCell ref="E941:E942"/>
  </mergeCell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2040B9-7DD7-4DAC-B051-9C07CD79601F}">
  <dimension ref="A1:C39"/>
  <sheetViews>
    <sheetView topLeftCell="B36" workbookViewId="0">
      <selection activeCell="C37" sqref="C37"/>
    </sheetView>
  </sheetViews>
  <sheetFormatPr defaultRowHeight="14.25" x14ac:dyDescent="0.45"/>
  <cols>
    <col min="1" max="1" width="29.1328125" customWidth="1"/>
    <col min="2" max="2" width="111.59765625" customWidth="1"/>
    <col min="3" max="3" width="103.59765625" bestFit="1" customWidth="1"/>
  </cols>
  <sheetData>
    <row r="1" spans="1:3" ht="18" x14ac:dyDescent="0.55000000000000004">
      <c r="A1" s="49" t="s">
        <v>111</v>
      </c>
      <c r="B1" s="49"/>
      <c r="C1" s="28" t="s">
        <v>77</v>
      </c>
    </row>
    <row r="2" spans="1:3" x14ac:dyDescent="0.45">
      <c r="A2" t="s">
        <v>121</v>
      </c>
      <c r="B2" t="s">
        <v>119</v>
      </c>
    </row>
    <row r="3" spans="1:3" x14ac:dyDescent="0.45">
      <c r="A3" t="s">
        <v>57</v>
      </c>
      <c r="B3" t="s">
        <v>120</v>
      </c>
    </row>
    <row r="4" spans="1:3" x14ac:dyDescent="0.45">
      <c r="A4" t="s">
        <v>122</v>
      </c>
      <c r="B4" t="s">
        <v>123</v>
      </c>
    </row>
    <row r="5" spans="1:3" x14ac:dyDescent="0.45">
      <c r="A5" t="s">
        <v>124</v>
      </c>
      <c r="B5" t="s">
        <v>125</v>
      </c>
    </row>
    <row r="6" spans="1:3" x14ac:dyDescent="0.45">
      <c r="A6" t="s">
        <v>32</v>
      </c>
      <c r="B6" t="s">
        <v>34</v>
      </c>
    </row>
    <row r="7" spans="1:3" x14ac:dyDescent="0.45">
      <c r="A7" t="s">
        <v>33</v>
      </c>
      <c r="B7" t="s">
        <v>35</v>
      </c>
    </row>
    <row r="8" spans="1:3" x14ac:dyDescent="0.45">
      <c r="A8" t="s">
        <v>56</v>
      </c>
      <c r="B8" t="s">
        <v>110</v>
      </c>
    </row>
    <row r="9" spans="1:3" x14ac:dyDescent="0.45">
      <c r="A9" t="s">
        <v>72</v>
      </c>
      <c r="B9" t="s">
        <v>34</v>
      </c>
    </row>
    <row r="10" spans="1:3" x14ac:dyDescent="0.45">
      <c r="A10" t="s">
        <v>73</v>
      </c>
      <c r="B10" t="s">
        <v>35</v>
      </c>
    </row>
    <row r="11" spans="1:3" x14ac:dyDescent="0.45">
      <c r="A11" t="s">
        <v>126</v>
      </c>
      <c r="B11" t="s">
        <v>127</v>
      </c>
    </row>
    <row r="12" spans="1:3" x14ac:dyDescent="0.45">
      <c r="A12" t="s">
        <v>31</v>
      </c>
      <c r="B12" t="s">
        <v>30</v>
      </c>
    </row>
    <row r="13" spans="1:3" x14ac:dyDescent="0.45">
      <c r="A13" t="s">
        <v>60</v>
      </c>
      <c r="B13" s="68" t="s">
        <v>79</v>
      </c>
      <c r="C13" t="s">
        <v>76</v>
      </c>
    </row>
    <row r="14" spans="1:3" x14ac:dyDescent="0.45">
      <c r="A14" t="s">
        <v>61</v>
      </c>
      <c r="B14" s="68" t="s">
        <v>82</v>
      </c>
      <c r="C14" t="s">
        <v>76</v>
      </c>
    </row>
    <row r="15" spans="1:3" x14ac:dyDescent="0.45">
      <c r="A15" t="s">
        <v>62</v>
      </c>
      <c r="B15" s="68" t="s">
        <v>83</v>
      </c>
      <c r="C15" t="s">
        <v>76</v>
      </c>
    </row>
    <row r="16" spans="1:3" x14ac:dyDescent="0.45">
      <c r="A16" t="s">
        <v>63</v>
      </c>
      <c r="B16" s="68" t="s">
        <v>84</v>
      </c>
      <c r="C16" t="s">
        <v>76</v>
      </c>
    </row>
    <row r="17" spans="1:3" x14ac:dyDescent="0.45">
      <c r="A17" t="s">
        <v>58</v>
      </c>
      <c r="B17" t="s">
        <v>137</v>
      </c>
    </row>
    <row r="18" spans="1:3" x14ac:dyDescent="0.45">
      <c r="A18" t="s">
        <v>59</v>
      </c>
      <c r="B18" t="s">
        <v>138</v>
      </c>
    </row>
    <row r="19" spans="1:3" x14ac:dyDescent="0.45">
      <c r="A19" t="s">
        <v>39</v>
      </c>
      <c r="B19" t="s">
        <v>36</v>
      </c>
    </row>
    <row r="20" spans="1:3" x14ac:dyDescent="0.45">
      <c r="A20" t="s">
        <v>40</v>
      </c>
      <c r="B20" t="s">
        <v>41</v>
      </c>
    </row>
    <row r="21" spans="1:3" x14ac:dyDescent="0.45">
      <c r="A21" t="s">
        <v>64</v>
      </c>
      <c r="B21" t="s">
        <v>65</v>
      </c>
    </row>
    <row r="22" spans="1:3" x14ac:dyDescent="0.45">
      <c r="A22" t="s">
        <v>45</v>
      </c>
      <c r="B22" t="s">
        <v>44</v>
      </c>
    </row>
    <row r="23" spans="1:3" x14ac:dyDescent="0.45">
      <c r="A23" t="s">
        <v>46</v>
      </c>
      <c r="B23" t="s">
        <v>49</v>
      </c>
    </row>
    <row r="24" spans="1:3" x14ac:dyDescent="0.45">
      <c r="A24" t="s">
        <v>47</v>
      </c>
      <c r="B24" t="s">
        <v>50</v>
      </c>
    </row>
    <row r="25" spans="1:3" x14ac:dyDescent="0.45">
      <c r="A25" t="s">
        <v>48</v>
      </c>
      <c r="B25" t="s">
        <v>51</v>
      </c>
    </row>
    <row r="26" spans="1:3" x14ac:dyDescent="0.45">
      <c r="A26" t="s">
        <v>52</v>
      </c>
      <c r="B26" t="s">
        <v>29</v>
      </c>
      <c r="C26" t="s">
        <v>76</v>
      </c>
    </row>
    <row r="27" spans="1:3" x14ac:dyDescent="0.45">
      <c r="A27" t="s">
        <v>69</v>
      </c>
      <c r="B27" s="68" t="s">
        <v>66</v>
      </c>
      <c r="C27" t="s">
        <v>78</v>
      </c>
    </row>
    <row r="28" spans="1:3" x14ac:dyDescent="0.45">
      <c r="A28" t="s">
        <v>68</v>
      </c>
      <c r="B28" s="68" t="s">
        <v>70</v>
      </c>
      <c r="C28" t="s">
        <v>78</v>
      </c>
    </row>
    <row r="29" spans="1:3" x14ac:dyDescent="0.45">
      <c r="A29" t="s">
        <v>75</v>
      </c>
      <c r="B29" s="68" t="s">
        <v>70</v>
      </c>
      <c r="C29" t="s">
        <v>78</v>
      </c>
    </row>
    <row r="30" spans="1:3" x14ac:dyDescent="0.45">
      <c r="A30" t="s">
        <v>93</v>
      </c>
      <c r="B30" t="s">
        <v>95</v>
      </c>
    </row>
    <row r="31" spans="1:3" x14ac:dyDescent="0.45">
      <c r="A31" t="s">
        <v>94</v>
      </c>
      <c r="B31" t="s">
        <v>96</v>
      </c>
    </row>
    <row r="32" spans="1:3" x14ac:dyDescent="0.45">
      <c r="A32" t="s">
        <v>102</v>
      </c>
      <c r="B32" t="s">
        <v>106</v>
      </c>
    </row>
    <row r="36" spans="2:2" x14ac:dyDescent="0.45">
      <c r="B36" t="s">
        <v>129</v>
      </c>
    </row>
    <row r="38" spans="2:2" x14ac:dyDescent="0.45">
      <c r="B38" t="s">
        <v>136</v>
      </c>
    </row>
    <row r="39" spans="2:2" x14ac:dyDescent="0.45">
      <c r="B39" t="s">
        <v>136</v>
      </c>
    </row>
  </sheetData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8C82E3-F472-43ED-9C66-9675C7100D60}">
  <dimension ref="A1:D960"/>
  <sheetViews>
    <sheetView workbookViewId="0"/>
  </sheetViews>
  <sheetFormatPr defaultRowHeight="14.25" x14ac:dyDescent="0.45"/>
  <cols>
    <col min="1" max="1" width="75.3984375" customWidth="1"/>
    <col min="2" max="2" width="110" bestFit="1" customWidth="1"/>
    <col min="4" max="4" width="63.59765625" bestFit="1" customWidth="1"/>
  </cols>
  <sheetData>
    <row r="1" spans="1:4" ht="18" x14ac:dyDescent="0.55000000000000004">
      <c r="A1" t="str" cm="1">
        <f t="array" ref="A1:A960">AliasPaths</f>
        <v>VeriStand
Alias Path</v>
      </c>
      <c r="B1" t="str" cm="1">
        <f t="array" ref="B1:B960">ChannelPaths</f>
        <v>VeriStand
Channel path</v>
      </c>
      <c r="D1" s="49" t="s">
        <v>112</v>
      </c>
    </row>
    <row r="2" spans="1:4" ht="18" x14ac:dyDescent="0.55000000000000004">
      <c r="A2" t="str">
        <v>ATE/IO1/AO</v>
      </c>
      <c r="B2" t="str">
        <v>Targets/Controller/Hardware/Chassis/DAQ/PXI1Slot15/Analog Output/AO0</v>
      </c>
      <c r="D2" s="49" t="s">
        <v>109</v>
      </c>
    </row>
    <row r="3" spans="1:4" x14ac:dyDescent="0.45">
      <c r="A3" t="str">
        <v>ATE/IO1/PWM_FR</v>
      </c>
      <c r="B3" t="str">
        <v>Targets/Controller/Custom Devices/FPGA Addon/Scalars/Scalar Outputs/PWM.Out.IO1/FREQ</v>
      </c>
    </row>
    <row r="4" spans="1:4" x14ac:dyDescent="0.45">
      <c r="A4" t="str">
        <v>ATE/IO1/PWM_DC</v>
      </c>
      <c r="B4" t="str">
        <v>Targets/Controller/Custom Devices/FPGA Addon/Scalars/Scalar Outputs/PWM.Out.IO1/DC</v>
      </c>
    </row>
    <row r="5" spans="1:4" x14ac:dyDescent="0.45">
      <c r="A5" t="str">
        <v>None</v>
      </c>
      <c r="B5" t="str">
        <v>Targets/Controller/Hardware/SLSC/SLSC Chassis/Modules/Slot 8 (SLSC-12201 DIO)/Bank 0/Port 0/Line 0/Direction</v>
      </c>
    </row>
    <row r="6" spans="1:4" x14ac:dyDescent="0.45">
      <c r="A6" t="str">
        <v>ATE/IO1/Select_DO</v>
      </c>
      <c r="B6" t="str">
        <v>Targets/Controller/Custom Devices/PickeringSwitching/Subunit1/Switch1_1</v>
      </c>
    </row>
    <row r="7" spans="1:4" x14ac:dyDescent="0.45">
      <c r="A7" t="str">
        <v>None</v>
      </c>
      <c r="B7" t="str">
        <v>TBD</v>
      </c>
    </row>
    <row r="8" spans="1:4" x14ac:dyDescent="0.45">
      <c r="A8" t="str">
        <v>ATE/IO2/AO</v>
      </c>
      <c r="B8" t="str">
        <v>Targets/Controller/Hardware/Chassis/DAQ/PXI1Slot15/Analog Output/AO1</v>
      </c>
    </row>
    <row r="9" spans="1:4" x14ac:dyDescent="0.45">
      <c r="A9" t="str">
        <v>ATE/IO2/PWM_FR</v>
      </c>
      <c r="B9" t="str">
        <v>Targets/Controller/Custom Devices/FPGA Addon/Scalars/Scalar Outputs/PWM.Out.IO2/FREQ</v>
      </c>
    </row>
    <row r="10" spans="1:4" x14ac:dyDescent="0.45">
      <c r="A10" t="str">
        <v>ATE/IO2/PWM_DC</v>
      </c>
      <c r="B10" t="str">
        <v>Targets/Controller/Custom Devices/FPGA Addon/Scalars/Scalar Outputs/PWM.Out.IO2/DC</v>
      </c>
    </row>
    <row r="11" spans="1:4" x14ac:dyDescent="0.45">
      <c r="A11" t="str">
        <v>None</v>
      </c>
      <c r="B11" t="str">
        <v>Targets/Controller/Hardware/SLSC/SLSC Chassis/Modules/Slot 8 (SLSC-12201 DIO)/Bank 0/Port 0/Line 1/Direction</v>
      </c>
    </row>
    <row r="12" spans="1:4" x14ac:dyDescent="0.45">
      <c r="A12" t="str">
        <v>ATE/IO2/Select_DO</v>
      </c>
      <c r="B12" t="str">
        <v>Targets/Controller/Custom Devices/PickeringSwitching/Subunit1/Switch1_2</v>
      </c>
    </row>
    <row r="13" spans="1:4" x14ac:dyDescent="0.45">
      <c r="A13" t="str">
        <v>None</v>
      </c>
      <c r="B13" t="str">
        <v>TBD</v>
      </c>
    </row>
    <row r="14" spans="1:4" x14ac:dyDescent="0.45">
      <c r="A14" t="str">
        <v>ATE/IO3/AO</v>
      </c>
      <c r="B14" t="str">
        <v>Targets/Controller/Hardware/Chassis/DAQ/PXI1Slot15/Analog Output/AO2</v>
      </c>
    </row>
    <row r="15" spans="1:4" x14ac:dyDescent="0.45">
      <c r="A15" t="str">
        <v>ATE/IO3/PWM_FR</v>
      </c>
      <c r="B15" t="str">
        <v>Targets/Controller/Custom Devices/FPGA Addon/Scalars/Scalar Outputs/PWM.Out.IO3/FREQ</v>
      </c>
    </row>
    <row r="16" spans="1:4" x14ac:dyDescent="0.45">
      <c r="A16" t="str">
        <v>ATE/IO3/PWM_DC</v>
      </c>
      <c r="B16" t="str">
        <v>Targets/Controller/Custom Devices/FPGA Addon/Scalars/Scalar Outputs/PWM.Out.IO3/DC</v>
      </c>
    </row>
    <row r="17" spans="1:2" x14ac:dyDescent="0.45">
      <c r="A17" t="str">
        <v>None</v>
      </c>
      <c r="B17" t="str">
        <v>Targets/Controller/Hardware/SLSC/SLSC Chassis/Modules/Slot 8 (SLSC-12201 DIO)/Bank 0/Port 0/Line 2/Direction</v>
      </c>
    </row>
    <row r="18" spans="1:2" x14ac:dyDescent="0.45">
      <c r="A18" t="str">
        <v>ATE/IO3/Select_DO</v>
      </c>
      <c r="B18" t="str">
        <v>Targets/Controller/Custom Devices/PickeringSwitching/Subunit1/Switch1_3</v>
      </c>
    </row>
    <row r="19" spans="1:2" x14ac:dyDescent="0.45">
      <c r="A19" t="str">
        <v>None</v>
      </c>
      <c r="B19" t="str">
        <v>TBD</v>
      </c>
    </row>
    <row r="20" spans="1:2" x14ac:dyDescent="0.45">
      <c r="A20" t="str">
        <v>ATE/IO4/AO</v>
      </c>
      <c r="B20" t="str">
        <v>Targets/Controller/Hardware/Chassis/DAQ/PXI1Slot15/Analog Output/AO3</v>
      </c>
    </row>
    <row r="21" spans="1:2" x14ac:dyDescent="0.45">
      <c r="A21" t="str">
        <v>ATE/IO4/PWM_FR</v>
      </c>
      <c r="B21" t="str">
        <v>Targets/Controller/Custom Devices/FPGA Addon/Scalars/Scalar Outputs/PWM.Out.IO4/FREQ</v>
      </c>
    </row>
    <row r="22" spans="1:2" x14ac:dyDescent="0.45">
      <c r="A22" t="str">
        <v>ATE/IO4/PWM_DC</v>
      </c>
      <c r="B22" t="str">
        <v>Targets/Controller/Custom Devices/FPGA Addon/Scalars/Scalar Outputs/PWM.Out.IO4/DC</v>
      </c>
    </row>
    <row r="23" spans="1:2" x14ac:dyDescent="0.45">
      <c r="A23" t="str">
        <v>None</v>
      </c>
      <c r="B23" t="str">
        <v>Targets/Controller/Hardware/SLSC/SLSC Chassis/Modules/Slot 8 (SLSC-12201 DIO)/Bank 0/Port 0/Line 3/Direction</v>
      </c>
    </row>
    <row r="24" spans="1:2" x14ac:dyDescent="0.45">
      <c r="A24" t="str">
        <v>ATE/IO4/Select_DO</v>
      </c>
      <c r="B24" t="str">
        <v>Targets/Controller/Custom Devices/PickeringSwitching/Subunit1/Switch1_4</v>
      </c>
    </row>
    <row r="25" spans="1:2" x14ac:dyDescent="0.45">
      <c r="A25" t="str">
        <v>None</v>
      </c>
      <c r="B25" t="str">
        <v>TBD</v>
      </c>
    </row>
    <row r="26" spans="1:2" x14ac:dyDescent="0.45">
      <c r="A26" t="str">
        <v>ATE/IO5/AO</v>
      </c>
      <c r="B26" t="str">
        <v>Targets/Controller/Hardware/Chassis/DAQ/PXI1Slot15/Analog Output/AO4</v>
      </c>
    </row>
    <row r="27" spans="1:2" x14ac:dyDescent="0.45">
      <c r="A27" t="str">
        <v>ATE/IO5/PWM_FR</v>
      </c>
      <c r="B27" t="str">
        <v>Targets/Controller/Custom Devices/FPGA Addon/Scalars/Scalar Outputs/PWM.Out.IO5/FREQ</v>
      </c>
    </row>
    <row r="28" spans="1:2" x14ac:dyDescent="0.45">
      <c r="A28" t="str">
        <v>ATE/IO5/PWM_DC</v>
      </c>
      <c r="B28" t="str">
        <v>Targets/Controller/Custom Devices/FPGA Addon/Scalars/Scalar Outputs/PWM.Out.IO5/DC</v>
      </c>
    </row>
    <row r="29" spans="1:2" x14ac:dyDescent="0.45">
      <c r="A29" t="str">
        <v>None</v>
      </c>
      <c r="B29" t="str">
        <v>Targets/Controller/Hardware/SLSC/SLSC Chassis/Modules/Slot 8 (SLSC-12201 DIO)/Bank 0/Port 0/Line 4/Direction</v>
      </c>
    </row>
    <row r="30" spans="1:2" x14ac:dyDescent="0.45">
      <c r="A30" t="str">
        <v>ATE/IO5/Select_DO</v>
      </c>
      <c r="B30" t="str">
        <v>Targets/Controller/Custom Devices/PickeringSwitching/Subunit1/Switch1_5</v>
      </c>
    </row>
    <row r="31" spans="1:2" x14ac:dyDescent="0.45">
      <c r="A31" t="str">
        <v>None</v>
      </c>
      <c r="B31" t="str">
        <v>TBD</v>
      </c>
    </row>
    <row r="32" spans="1:2" x14ac:dyDescent="0.45">
      <c r="A32" t="str">
        <v>ATE/IO6/AO</v>
      </c>
      <c r="B32" t="str">
        <v>Targets/Controller/Hardware/Chassis/DAQ/PXI1Slot15/Analog Output/AO5</v>
      </c>
    </row>
    <row r="33" spans="1:2" x14ac:dyDescent="0.45">
      <c r="A33" t="str">
        <v>ATE/IO6/PWM_FR</v>
      </c>
      <c r="B33" t="str">
        <v>Targets/Controller/Custom Devices/FPGA Addon/Scalars/Scalar Outputs/PWM.Out.IO6/FREQ</v>
      </c>
    </row>
    <row r="34" spans="1:2" x14ac:dyDescent="0.45">
      <c r="A34" t="str">
        <v>ATE/IO6/PWM_DC</v>
      </c>
      <c r="B34" t="str">
        <v>Targets/Controller/Custom Devices/FPGA Addon/Scalars/Scalar Outputs/PWM.Out.IO6/DC</v>
      </c>
    </row>
    <row r="35" spans="1:2" x14ac:dyDescent="0.45">
      <c r="A35" t="str">
        <v>None</v>
      </c>
      <c r="B35" t="str">
        <v>Targets/Controller/Hardware/SLSC/SLSC Chassis/Modules/Slot 8 (SLSC-12201 DIO)/Bank 0/Port 0/Line 5/Direction</v>
      </c>
    </row>
    <row r="36" spans="1:2" x14ac:dyDescent="0.45">
      <c r="A36" t="str">
        <v>ATE/IO6/Select_DO</v>
      </c>
      <c r="B36" t="str">
        <v>Targets/Controller/Custom Devices/PickeringSwitching/Subunit1/Switch1_6</v>
      </c>
    </row>
    <row r="37" spans="1:2" x14ac:dyDescent="0.45">
      <c r="A37" t="str">
        <v>None</v>
      </c>
      <c r="B37" t="str">
        <v>TBD</v>
      </c>
    </row>
    <row r="38" spans="1:2" x14ac:dyDescent="0.45">
      <c r="A38" t="str">
        <v>ATE/IO7/AO</v>
      </c>
      <c r="B38" t="str">
        <v>Targets/Controller/Hardware/Chassis/DAQ/PXI1Slot15/Analog Output/AO6</v>
      </c>
    </row>
    <row r="39" spans="1:2" x14ac:dyDescent="0.45">
      <c r="A39" t="str">
        <v>ATE/IO7/PWM_FR</v>
      </c>
      <c r="B39" t="str">
        <v>Targets/Controller/Custom Devices/FPGA Addon/Scalars/Scalar Outputs/PWM.Out.IO7/FREQ</v>
      </c>
    </row>
    <row r="40" spans="1:2" x14ac:dyDescent="0.45">
      <c r="A40" t="str">
        <v>ATE/IO7/PWM_DC</v>
      </c>
      <c r="B40" t="str">
        <v>Targets/Controller/Custom Devices/FPGA Addon/Scalars/Scalar Outputs/PWM.Out.IO7/DC</v>
      </c>
    </row>
    <row r="41" spans="1:2" x14ac:dyDescent="0.45">
      <c r="A41" t="str">
        <v>None</v>
      </c>
      <c r="B41" t="str">
        <v>Targets/Controller/Hardware/SLSC/SLSC Chassis/Modules/Slot 8 (SLSC-12201 DIO)/Bank 0/Port 0/Line 6/Direction</v>
      </c>
    </row>
    <row r="42" spans="1:2" x14ac:dyDescent="0.45">
      <c r="A42" t="str">
        <v>ATE/IO7/Select_DO</v>
      </c>
      <c r="B42" t="str">
        <v>Targets/Controller/Custom Devices/PickeringSwitching/Subunit1/Switch1_7</v>
      </c>
    </row>
    <row r="43" spans="1:2" x14ac:dyDescent="0.45">
      <c r="A43" t="str">
        <v>None</v>
      </c>
      <c r="B43" t="str">
        <v>TBD</v>
      </c>
    </row>
    <row r="44" spans="1:2" x14ac:dyDescent="0.45">
      <c r="A44" t="str">
        <v>ATE/IO8/AO</v>
      </c>
      <c r="B44" t="str">
        <v>Targets/Controller/Hardware/Chassis/DAQ/PXI1Slot15/Analog Output/AO7</v>
      </c>
    </row>
    <row r="45" spans="1:2" x14ac:dyDescent="0.45">
      <c r="A45" t="str">
        <v>ATE/IO8/PWM_FR</v>
      </c>
      <c r="B45" t="str">
        <v>Targets/Controller/Custom Devices/FPGA Addon/Scalars/Scalar Outputs/PWM.Out.IO8/FREQ</v>
      </c>
    </row>
    <row r="46" spans="1:2" x14ac:dyDescent="0.45">
      <c r="A46" t="str">
        <v>ATE/IO8/PWM_DC</v>
      </c>
      <c r="B46" t="str">
        <v>Targets/Controller/Custom Devices/FPGA Addon/Scalars/Scalar Outputs/PWM.Out.IO8/DC</v>
      </c>
    </row>
    <row r="47" spans="1:2" x14ac:dyDescent="0.45">
      <c r="A47" t="str">
        <v>None</v>
      </c>
      <c r="B47" t="str">
        <v>Targets/Controller/Hardware/SLSC/SLSC Chassis/Modules/Slot 8 (SLSC-12201 DIO)/Bank 0/Port 0/Line 7/Direction</v>
      </c>
    </row>
    <row r="48" spans="1:2" x14ac:dyDescent="0.45">
      <c r="A48" t="str">
        <v>ATE/IO8/Select_DO</v>
      </c>
      <c r="B48" t="str">
        <v>Targets/Controller/Custom Devices/PickeringSwitching/Subunit1/Switch1_8</v>
      </c>
    </row>
    <row r="49" spans="1:2" x14ac:dyDescent="0.45">
      <c r="A49" t="str">
        <v>None</v>
      </c>
      <c r="B49" t="str">
        <v>TBD</v>
      </c>
    </row>
    <row r="50" spans="1:2" x14ac:dyDescent="0.45">
      <c r="A50" t="str">
        <v>ATE/IO9/AO</v>
      </c>
      <c r="B50" t="str">
        <v>Targets/Controller/Hardware/Chassis/DAQ/PXI1Slot15/Analog Output/AO8</v>
      </c>
    </row>
    <row r="51" spans="1:2" x14ac:dyDescent="0.45">
      <c r="A51" t="str">
        <v>ATE/IO9/PWM_FR</v>
      </c>
      <c r="B51" t="str">
        <v>Targets/Controller/Custom Devices/FPGA Addon/Scalars/Scalar Outputs/PWM.Out.IO9/FREQ</v>
      </c>
    </row>
    <row r="52" spans="1:2" x14ac:dyDescent="0.45">
      <c r="A52" t="str">
        <v>ATE/IO9/PWM_DC</v>
      </c>
      <c r="B52" t="str">
        <v>Targets/Controller/Custom Devices/FPGA Addon/Scalars/Scalar Outputs/PWM.Out.IO9/DC</v>
      </c>
    </row>
    <row r="53" spans="1:2" x14ac:dyDescent="0.45">
      <c r="A53" t="str">
        <v>None</v>
      </c>
      <c r="B53" t="str">
        <v>Targets/Controller/Hardware/SLSC/SLSC Chassis/Modules/Slot 8 (SLSC-12201 DIO)/Bank 0/Port 1/Line 0/Direction</v>
      </c>
    </row>
    <row r="54" spans="1:2" x14ac:dyDescent="0.45">
      <c r="A54" t="str">
        <v>ATE/IO9/Select_DO</v>
      </c>
      <c r="B54" t="str">
        <v>Targets/Controller/Custom Devices/PickeringSwitching/Subunit1/Switch1_9</v>
      </c>
    </row>
    <row r="55" spans="1:2" x14ac:dyDescent="0.45">
      <c r="A55" t="str">
        <v>None</v>
      </c>
      <c r="B55" t="str">
        <v>TBD</v>
      </c>
    </row>
    <row r="56" spans="1:2" x14ac:dyDescent="0.45">
      <c r="A56" t="str">
        <v>ATE/IO10/AO</v>
      </c>
      <c r="B56" t="str">
        <v>Targets/Controller/Hardware/Chassis/DAQ/PXI1Slot15/Analog Output/AO9</v>
      </c>
    </row>
    <row r="57" spans="1:2" x14ac:dyDescent="0.45">
      <c r="A57" t="str">
        <v>ATE/IO10/PWM_FR</v>
      </c>
      <c r="B57" t="str">
        <v>Targets/Controller/Custom Devices/FPGA Addon/Scalars/Scalar Outputs/PWM.Out.IO10/FREQ</v>
      </c>
    </row>
    <row r="58" spans="1:2" x14ac:dyDescent="0.45">
      <c r="A58" t="str">
        <v>ATE/IO10/PWM_DC</v>
      </c>
      <c r="B58" t="str">
        <v>Targets/Controller/Custom Devices/FPGA Addon/Scalars/Scalar Outputs/PWM.Out.IO10/DC</v>
      </c>
    </row>
    <row r="59" spans="1:2" x14ac:dyDescent="0.45">
      <c r="A59" t="str">
        <v>None</v>
      </c>
      <c r="B59" t="str">
        <v>Targets/Controller/Hardware/SLSC/SLSC Chassis/Modules/Slot 8 (SLSC-12201 DIO)/Bank 0/Port 1/Line 1/Direction</v>
      </c>
    </row>
    <row r="60" spans="1:2" x14ac:dyDescent="0.45">
      <c r="A60" t="str">
        <v>ATE/IO10/Select_DO</v>
      </c>
      <c r="B60" t="str">
        <v>Targets/Controller/Custom Devices/PickeringSwitching/Subunit1/Switch1_10</v>
      </c>
    </row>
    <row r="61" spans="1:2" x14ac:dyDescent="0.45">
      <c r="A61" t="str">
        <v>None</v>
      </c>
      <c r="B61" t="str">
        <v>TBD</v>
      </c>
    </row>
    <row r="62" spans="1:2" x14ac:dyDescent="0.45">
      <c r="A62" t="str">
        <v>ATE/IO11/AO</v>
      </c>
      <c r="B62" t="str">
        <v>Targets/Controller/Hardware/Chassis/DAQ/PXI1Slot15/Analog Output/AO10</v>
      </c>
    </row>
    <row r="63" spans="1:2" x14ac:dyDescent="0.45">
      <c r="A63" t="str">
        <v>ATE/IO11/PWM_FR</v>
      </c>
      <c r="B63" t="str">
        <v>Targets/Controller/Custom Devices/FPGA Addon/Scalars/Scalar Outputs/PWM.Out.IO11/FREQ</v>
      </c>
    </row>
    <row r="64" spans="1:2" x14ac:dyDescent="0.45">
      <c r="A64" t="str">
        <v>ATE/IO11/PWM_DC</v>
      </c>
      <c r="B64" t="str">
        <v>Targets/Controller/Custom Devices/FPGA Addon/Scalars/Scalar Outputs/PWM.Out.IO11/DC</v>
      </c>
    </row>
    <row r="65" spans="1:2" x14ac:dyDescent="0.45">
      <c r="A65" t="str">
        <v>None</v>
      </c>
      <c r="B65" t="str">
        <v>Targets/Controller/Hardware/SLSC/SLSC Chassis/Modules/Slot 8 (SLSC-12201 DIO)/Bank 0/Port 1/Line 2/Direction</v>
      </c>
    </row>
    <row r="66" spans="1:2" x14ac:dyDescent="0.45">
      <c r="A66" t="str">
        <v>ATE/IO11/Select_DO</v>
      </c>
      <c r="B66" t="str">
        <v>Targets/Controller/Custom Devices/PickeringSwitching/Subunit1/Switch1_11</v>
      </c>
    </row>
    <row r="67" spans="1:2" x14ac:dyDescent="0.45">
      <c r="A67" t="str">
        <v>None</v>
      </c>
      <c r="B67" t="str">
        <v>TBD</v>
      </c>
    </row>
    <row r="68" spans="1:2" x14ac:dyDescent="0.45">
      <c r="A68" t="str">
        <v>ATE/IO12/AO</v>
      </c>
      <c r="B68" t="str">
        <v>Targets/Controller/Hardware/Chassis/DAQ/PXI1Slot15/Analog Output/AO11</v>
      </c>
    </row>
    <row r="69" spans="1:2" x14ac:dyDescent="0.45">
      <c r="A69" t="str">
        <v>ATE/IO12/PWM_FR</v>
      </c>
      <c r="B69" t="str">
        <v>Targets/Controller/Custom Devices/FPGA Addon/Scalars/Scalar Outputs/PWM.Out.IO12/FREQ</v>
      </c>
    </row>
    <row r="70" spans="1:2" x14ac:dyDescent="0.45">
      <c r="A70" t="str">
        <v>ATE/IO12/PWM_DC</v>
      </c>
      <c r="B70" t="str">
        <v>Targets/Controller/Custom Devices/FPGA Addon/Scalars/Scalar Outputs/PWM.Out.IO12/DC</v>
      </c>
    </row>
    <row r="71" spans="1:2" x14ac:dyDescent="0.45">
      <c r="A71" t="str">
        <v>None</v>
      </c>
      <c r="B71" t="str">
        <v>Targets/Controller/Hardware/SLSC/SLSC Chassis/Modules/Slot 8 (SLSC-12201 DIO)/Bank 0/Port 1/Line 3/Direction</v>
      </c>
    </row>
    <row r="72" spans="1:2" x14ac:dyDescent="0.45">
      <c r="A72" t="str">
        <v>ATE/IO12/Select_DO</v>
      </c>
      <c r="B72" t="str">
        <v>Targets/Controller/Custom Devices/PickeringSwitching/Subunit1/Switch1_12</v>
      </c>
    </row>
    <row r="73" spans="1:2" x14ac:dyDescent="0.45">
      <c r="A73" t="str">
        <v>None</v>
      </c>
      <c r="B73" t="str">
        <v>TBD</v>
      </c>
    </row>
    <row r="74" spans="1:2" x14ac:dyDescent="0.45">
      <c r="A74" t="str">
        <v>ATE/IO13/AO</v>
      </c>
      <c r="B74" t="str">
        <v>Targets/Controller/Hardware/Chassis/DAQ/PXI1Slot15/Analog Output/AO12</v>
      </c>
    </row>
    <row r="75" spans="1:2" x14ac:dyDescent="0.45">
      <c r="A75" t="str">
        <v>ATE/IO13/PWM_FR</v>
      </c>
      <c r="B75" t="str">
        <v>Targets/Controller/Custom Devices/FPGA Addon/Scalars/Scalar Outputs/PWM.Out.IO13/FREQ</v>
      </c>
    </row>
    <row r="76" spans="1:2" x14ac:dyDescent="0.45">
      <c r="A76" t="str">
        <v>ATE/IO13/PWM_DC</v>
      </c>
      <c r="B76" t="str">
        <v>Targets/Controller/Custom Devices/FPGA Addon/Scalars/Scalar Outputs/PWM.Out.IO13/DC</v>
      </c>
    </row>
    <row r="77" spans="1:2" x14ac:dyDescent="0.45">
      <c r="A77" t="str">
        <v>None</v>
      </c>
      <c r="B77" t="str">
        <v>Targets/Controller/Hardware/SLSC/SLSC Chassis/Modules/Slot 8 (SLSC-12201 DIO)/Bank 0/Port 1/Line 4/Direction</v>
      </c>
    </row>
    <row r="78" spans="1:2" x14ac:dyDescent="0.45">
      <c r="A78" t="str">
        <v>ATE/IO13/Select_DO</v>
      </c>
      <c r="B78" t="str">
        <v>Targets/Controller/Custom Devices/PickeringSwitching/Subunit1/Switch1_13</v>
      </c>
    </row>
    <row r="79" spans="1:2" x14ac:dyDescent="0.45">
      <c r="A79" t="str">
        <v>None</v>
      </c>
      <c r="B79" t="str">
        <v>TBD</v>
      </c>
    </row>
    <row r="80" spans="1:2" x14ac:dyDescent="0.45">
      <c r="A80" t="str">
        <v>ATE/IO14/AO</v>
      </c>
      <c r="B80" t="str">
        <v>Targets/Controller/Hardware/Chassis/DAQ/PXI1Slot15/Analog Output/AO13</v>
      </c>
    </row>
    <row r="81" spans="1:2" x14ac:dyDescent="0.45">
      <c r="A81" t="str">
        <v>ATE/IO14/PWM_FR</v>
      </c>
      <c r="B81" t="str">
        <v>Targets/Controller/Custom Devices/FPGA Addon/Scalars/Scalar Outputs/PWM.Out.IO14/FREQ</v>
      </c>
    </row>
    <row r="82" spans="1:2" x14ac:dyDescent="0.45">
      <c r="A82" t="str">
        <v>ATE/IO14/PWM_DC</v>
      </c>
      <c r="B82" t="str">
        <v>Targets/Controller/Custom Devices/FPGA Addon/Scalars/Scalar Outputs/PWM.Out.IO14/DC</v>
      </c>
    </row>
    <row r="83" spans="1:2" x14ac:dyDescent="0.45">
      <c r="A83" t="str">
        <v>None</v>
      </c>
      <c r="B83" t="str">
        <v>Targets/Controller/Hardware/SLSC/SLSC Chassis/Modules/Slot 8 (SLSC-12201 DIO)/Bank 0/Port 1/Line 5/Direction</v>
      </c>
    </row>
    <row r="84" spans="1:2" x14ac:dyDescent="0.45">
      <c r="A84" t="str">
        <v>ATE/IO14/Select_DO</v>
      </c>
      <c r="B84" t="str">
        <v>Targets/Controller/Custom Devices/PickeringSwitching/Subunit1/Switch1_14</v>
      </c>
    </row>
    <row r="85" spans="1:2" x14ac:dyDescent="0.45">
      <c r="A85" t="str">
        <v>None</v>
      </c>
      <c r="B85" t="str">
        <v>TBD</v>
      </c>
    </row>
    <row r="86" spans="1:2" x14ac:dyDescent="0.45">
      <c r="A86" t="str">
        <v>ATE/IO15/AO</v>
      </c>
      <c r="B86" t="str">
        <v>Targets/Controller/Hardware/Chassis/DAQ/PXI1Slot15/Analog Output/AO14</v>
      </c>
    </row>
    <row r="87" spans="1:2" x14ac:dyDescent="0.45">
      <c r="A87" t="str">
        <v>ATE/IO15/PWM_FR</v>
      </c>
      <c r="B87" t="str">
        <v>Targets/Controller/Custom Devices/FPGA Addon/Scalars/Scalar Outputs/PWM.Out.IO15/FREQ</v>
      </c>
    </row>
    <row r="88" spans="1:2" x14ac:dyDescent="0.45">
      <c r="A88" t="str">
        <v>ATE/IO15/PWM_DC</v>
      </c>
      <c r="B88" t="str">
        <v>Targets/Controller/Custom Devices/FPGA Addon/Scalars/Scalar Outputs/PWM.Out.IO15/DC</v>
      </c>
    </row>
    <row r="89" spans="1:2" x14ac:dyDescent="0.45">
      <c r="A89" t="str">
        <v>None</v>
      </c>
      <c r="B89" t="str">
        <v>Targets/Controller/Hardware/SLSC/SLSC Chassis/Modules/Slot 8 (SLSC-12201 DIO)/Bank 0/Port 1/Line 6/Direction</v>
      </c>
    </row>
    <row r="90" spans="1:2" x14ac:dyDescent="0.45">
      <c r="A90" t="str">
        <v>ATE/IO15/Select_DO</v>
      </c>
      <c r="B90" t="str">
        <v>Targets/Controller/Custom Devices/PickeringSwitching/Subunit1/Switch1_15</v>
      </c>
    </row>
    <row r="91" spans="1:2" x14ac:dyDescent="0.45">
      <c r="A91" t="str">
        <v>None</v>
      </c>
      <c r="B91" t="str">
        <v>TBD</v>
      </c>
    </row>
    <row r="92" spans="1:2" x14ac:dyDescent="0.45">
      <c r="A92" t="str">
        <v>ATE/IO16/AO</v>
      </c>
      <c r="B92" t="str">
        <v>Targets/Controller/Hardware/Chassis/DAQ/PXI1Slot15/Analog Output/AO15</v>
      </c>
    </row>
    <row r="93" spans="1:2" x14ac:dyDescent="0.45">
      <c r="A93" t="str">
        <v>ATE/IO16/PWM_FR</v>
      </c>
      <c r="B93" t="str">
        <v>Targets/Controller/Custom Devices/FPGA Addon/Scalars/Scalar Outputs/PWM.Out.IO16/FREQ</v>
      </c>
    </row>
    <row r="94" spans="1:2" x14ac:dyDescent="0.45">
      <c r="A94" t="str">
        <v>ATE/IO16/PWM_DC</v>
      </c>
      <c r="B94" t="str">
        <v>Targets/Controller/Custom Devices/FPGA Addon/Scalars/Scalar Outputs/PWM.Out.IO16/DC</v>
      </c>
    </row>
    <row r="95" spans="1:2" x14ac:dyDescent="0.45">
      <c r="A95" t="str">
        <v>None</v>
      </c>
      <c r="B95" t="str">
        <v>Targets/Controller/Hardware/SLSC/SLSC Chassis/Modules/Slot 8 (SLSC-12201 DIO)/Bank 0/Port 1/Line 7/Direction</v>
      </c>
    </row>
    <row r="96" spans="1:2" x14ac:dyDescent="0.45">
      <c r="A96" t="str">
        <v>ATE/IO16/Select_DO</v>
      </c>
      <c r="B96" t="str">
        <v>Targets/Controller/Custom Devices/PickeringSwitching/Subunit1/Switch1_16</v>
      </c>
    </row>
    <row r="97" spans="1:2" x14ac:dyDescent="0.45">
      <c r="A97" t="str">
        <v>None</v>
      </c>
      <c r="B97" t="str">
        <v>TBD</v>
      </c>
    </row>
    <row r="98" spans="1:2" x14ac:dyDescent="0.45">
      <c r="A98">
        <v>0</v>
      </c>
      <c r="B98">
        <v>0</v>
      </c>
    </row>
    <row r="99" spans="1:2" x14ac:dyDescent="0.45">
      <c r="A99" t="str">
        <v>ATE/IO17/AO</v>
      </c>
      <c r="B99" t="str">
        <v>Targets/Controller/Hardware/Chassis/DAQ/PXI1Slot15/Analog Output/AO16</v>
      </c>
    </row>
    <row r="100" spans="1:2" x14ac:dyDescent="0.45">
      <c r="A100" t="str">
        <v>ATE/IO17/PWM_FR</v>
      </c>
      <c r="B100" t="str">
        <v>Targets/Controller/Custom Devices/FPGA Addon/Scalars/Scalar Outputs/PWM.Out.IO17/FREQ</v>
      </c>
    </row>
    <row r="101" spans="1:2" x14ac:dyDescent="0.45">
      <c r="A101" t="str">
        <v>ATE/IO17/PWM_DC</v>
      </c>
      <c r="B101" t="str">
        <v>Targets/Controller/Custom Devices/FPGA Addon/Scalars/Scalar Outputs/PWM.Out.IO17/DC</v>
      </c>
    </row>
    <row r="102" spans="1:2" x14ac:dyDescent="0.45">
      <c r="A102" t="str">
        <v>None</v>
      </c>
      <c r="B102" t="str">
        <v>Targets/Controller/Hardware/SLSC/SLSC Chassis/Modules/Slot 8 (SLSC-12201 DIO)/Bank 1/Port 2/Line 0/Direction</v>
      </c>
    </row>
    <row r="103" spans="1:2" x14ac:dyDescent="0.45">
      <c r="A103" t="str">
        <v>None</v>
      </c>
      <c r="B103" t="str">
        <v>TBD</v>
      </c>
    </row>
    <row r="104" spans="1:2" x14ac:dyDescent="0.45">
      <c r="A104" t="str">
        <v>ATE/IO17/Select_DO_or_AOR</v>
      </c>
      <c r="B104" t="str">
        <v>Targets/Controller/Custom Devices/PickeringSwitching/Subunit1/Switch1_17</v>
      </c>
    </row>
    <row r="105" spans="1:2" x14ac:dyDescent="0.45">
      <c r="A105" t="str">
        <v>ATE/IO17/Select_AOR</v>
      </c>
      <c r="B105" t="str">
        <v>Targets/Controller/Custom Devices/PickeringSwitching/Subunit1/Switch1_18</v>
      </c>
    </row>
    <row r="106" spans="1:2" x14ac:dyDescent="0.45">
      <c r="A106" t="str">
        <v>None</v>
      </c>
      <c r="B106" t="str">
        <v>TBD</v>
      </c>
    </row>
    <row r="107" spans="1:2" x14ac:dyDescent="0.45">
      <c r="A107" t="str">
        <v>ATE/IO18/AO</v>
      </c>
      <c r="B107" t="str">
        <v>Targets/Controller/Hardware/Chassis/DAQ/PXI1Slot15/Analog Output/AO17</v>
      </c>
    </row>
    <row r="108" spans="1:2" x14ac:dyDescent="0.45">
      <c r="A108" t="str">
        <v>ATE/IO18/PWM_FR</v>
      </c>
      <c r="B108" t="str">
        <v>Targets/Controller/Custom Devices/FPGA Addon/Scalars/Scalar Outputs/PWM.Out.IO18/FREQ</v>
      </c>
    </row>
    <row r="109" spans="1:2" x14ac:dyDescent="0.45">
      <c r="A109" t="str">
        <v>ATE/IO18/PWM_DC</v>
      </c>
      <c r="B109" t="str">
        <v>Targets/Controller/Custom Devices/FPGA Addon/Scalars/Scalar Outputs/PWM.Out.IO18/DC</v>
      </c>
    </row>
    <row r="110" spans="1:2" x14ac:dyDescent="0.45">
      <c r="A110" t="str">
        <v>None</v>
      </c>
      <c r="B110" t="str">
        <v>Targets/Controller/Hardware/SLSC/SLSC Chassis/Modules/Slot 8 (SLSC-12201 DIO)/Bank 1/Port 2/Line 1/Direction</v>
      </c>
    </row>
    <row r="111" spans="1:2" x14ac:dyDescent="0.45">
      <c r="A111" t="str">
        <v>None</v>
      </c>
      <c r="B111" t="str">
        <v>TBD</v>
      </c>
    </row>
    <row r="112" spans="1:2" x14ac:dyDescent="0.45">
      <c r="A112" t="str">
        <v>ATE/IO18/Select_DO_or_AOR</v>
      </c>
      <c r="B112" t="str">
        <v>Targets/Controller/Custom Devices/PickeringSwitching/Subunit1/Switch1_19</v>
      </c>
    </row>
    <row r="113" spans="1:2" x14ac:dyDescent="0.45">
      <c r="A113" t="str">
        <v>ATE/IO18/Select_AOR</v>
      </c>
      <c r="B113" t="str">
        <v>Targets/Controller/Custom Devices/PickeringSwitching/Subunit1/Switch1_20</v>
      </c>
    </row>
    <row r="114" spans="1:2" x14ac:dyDescent="0.45">
      <c r="A114" t="str">
        <v>None</v>
      </c>
      <c r="B114" t="str">
        <v>TBD</v>
      </c>
    </row>
    <row r="115" spans="1:2" x14ac:dyDescent="0.45">
      <c r="A115" t="str">
        <v>ATE/IO19/AO</v>
      </c>
      <c r="B115" t="str">
        <v>Targets/Controller/Hardware/Chassis/DAQ/PXI1Slot15/Analog Output/AO18</v>
      </c>
    </row>
    <row r="116" spans="1:2" x14ac:dyDescent="0.45">
      <c r="A116" t="str">
        <v>ATE/IO19/PWM_FR</v>
      </c>
      <c r="B116" t="str">
        <v>Targets/Controller/Custom Devices/FPGA Addon/Scalars/Scalar Outputs/PWM.Out.IO19/FREQ</v>
      </c>
    </row>
    <row r="117" spans="1:2" x14ac:dyDescent="0.45">
      <c r="A117" t="str">
        <v>ATE/IO19/PWM_DC</v>
      </c>
      <c r="B117" t="str">
        <v>Targets/Controller/Custom Devices/FPGA Addon/Scalars/Scalar Outputs/PWM.Out.IO19/DC</v>
      </c>
    </row>
    <row r="118" spans="1:2" x14ac:dyDescent="0.45">
      <c r="A118" t="str">
        <v>None</v>
      </c>
      <c r="B118" t="str">
        <v>Targets/Controller/Hardware/SLSC/SLSC Chassis/Modules/Slot 8 (SLSC-12201 DIO)/Bank 1/Port 2/Line 2/Direction</v>
      </c>
    </row>
    <row r="119" spans="1:2" x14ac:dyDescent="0.45">
      <c r="A119" t="str">
        <v>None</v>
      </c>
      <c r="B119" t="str">
        <v>TBD</v>
      </c>
    </row>
    <row r="120" spans="1:2" x14ac:dyDescent="0.45">
      <c r="A120" t="str">
        <v>ATE/IO19/Select_DO_or_AOR</v>
      </c>
      <c r="B120" t="str">
        <v>Targets/Controller/Custom Devices/PickeringSwitching/Subunit1/Switch1_21</v>
      </c>
    </row>
    <row r="121" spans="1:2" x14ac:dyDescent="0.45">
      <c r="A121" t="str">
        <v>ATE/IO19/Select_AOR</v>
      </c>
      <c r="B121" t="str">
        <v>Targets/Controller/Custom Devices/PickeringSwitching/Subunit1/Switch1_22</v>
      </c>
    </row>
    <row r="122" spans="1:2" x14ac:dyDescent="0.45">
      <c r="A122" t="str">
        <v>None</v>
      </c>
      <c r="B122" t="str">
        <v>TBD</v>
      </c>
    </row>
    <row r="123" spans="1:2" x14ac:dyDescent="0.45">
      <c r="A123" t="str">
        <v>ATE/IO20/AO</v>
      </c>
      <c r="B123" t="str">
        <v>Targets/Controller/Hardware/Chassis/DAQ/PXI1Slot15/Analog Output/AO19</v>
      </c>
    </row>
    <row r="124" spans="1:2" x14ac:dyDescent="0.45">
      <c r="A124" t="str">
        <v>ATE/IO20/PWM_FR</v>
      </c>
      <c r="B124" t="str">
        <v>Targets/Controller/Custom Devices/FPGA Addon/Scalars/Scalar Outputs/PWM.Out.IO20/FREQ</v>
      </c>
    </row>
    <row r="125" spans="1:2" x14ac:dyDescent="0.45">
      <c r="A125" t="str">
        <v>ATE/IO20/PWM_DC</v>
      </c>
      <c r="B125" t="str">
        <v>Targets/Controller/Custom Devices/FPGA Addon/Scalars/Scalar Outputs/PWM.Out.IO20/DC</v>
      </c>
    </row>
    <row r="126" spans="1:2" x14ac:dyDescent="0.45">
      <c r="A126" t="str">
        <v>None</v>
      </c>
      <c r="B126" t="str">
        <v>Targets/Controller/Hardware/SLSC/SLSC Chassis/Modules/Slot 8 (SLSC-12201 DIO)/Bank 1/Port 2/Line 3/Direction</v>
      </c>
    </row>
    <row r="127" spans="1:2" x14ac:dyDescent="0.45">
      <c r="A127" t="str">
        <v>None</v>
      </c>
      <c r="B127" t="str">
        <v>TBD</v>
      </c>
    </row>
    <row r="128" spans="1:2" x14ac:dyDescent="0.45">
      <c r="A128" t="str">
        <v>ATE/IO20/Select_DO_or_AOR</v>
      </c>
      <c r="B128" t="str">
        <v>Targets/Controller/Custom Devices/PickeringSwitching/Subunit1/Switch1_23</v>
      </c>
    </row>
    <row r="129" spans="1:2" x14ac:dyDescent="0.45">
      <c r="A129" t="str">
        <v>ATE/IO20/Select_AOR</v>
      </c>
      <c r="B129" t="str">
        <v>Targets/Controller/Custom Devices/PickeringSwitching/Subunit1/Switch1_24</v>
      </c>
    </row>
    <row r="130" spans="1:2" x14ac:dyDescent="0.45">
      <c r="A130" t="str">
        <v>None</v>
      </c>
      <c r="B130" t="str">
        <v>TBD</v>
      </c>
    </row>
    <row r="131" spans="1:2" x14ac:dyDescent="0.45">
      <c r="A131" t="str">
        <v>ATE/IO21/AO</v>
      </c>
      <c r="B131" t="str">
        <v>Targets/Controller/Hardware/Chassis/DAQ/PXI1Slot15/Analog Output/AO20</v>
      </c>
    </row>
    <row r="132" spans="1:2" x14ac:dyDescent="0.45">
      <c r="A132" t="str">
        <v>ATE/IO21/PWM_FR</v>
      </c>
      <c r="B132" t="str">
        <v>Targets/Controller/Custom Devices/FPGA Addon/Scalars/Scalar Outputs/PWM.Out.IO21/FREQ</v>
      </c>
    </row>
    <row r="133" spans="1:2" x14ac:dyDescent="0.45">
      <c r="A133" t="str">
        <v>ATE/IO21/PWM_DC</v>
      </c>
      <c r="B133" t="str">
        <v>Targets/Controller/Custom Devices/FPGA Addon/Scalars/Scalar Outputs/PWM.Out.IO21/DC</v>
      </c>
    </row>
    <row r="134" spans="1:2" x14ac:dyDescent="0.45">
      <c r="A134" t="str">
        <v>None</v>
      </c>
      <c r="B134" t="str">
        <v>Targets/Controller/Hardware/SLSC/SLSC Chassis/Modules/Slot 8 (SLSC-12201 DIO)/Bank 1/Port 2/Line 4/Direction</v>
      </c>
    </row>
    <row r="135" spans="1:2" x14ac:dyDescent="0.45">
      <c r="A135" t="str">
        <v>None</v>
      </c>
      <c r="B135" t="str">
        <v>TBD</v>
      </c>
    </row>
    <row r="136" spans="1:2" x14ac:dyDescent="0.45">
      <c r="A136" t="str">
        <v>ATE/IO21/Select_DO_or_AOR</v>
      </c>
      <c r="B136" t="str">
        <v>Targets/Controller/Custom Devices/PickeringSwitching/Subunit1/Switch1_25</v>
      </c>
    </row>
    <row r="137" spans="1:2" x14ac:dyDescent="0.45">
      <c r="A137" t="str">
        <v>ATE/IO21/Select_AOR</v>
      </c>
      <c r="B137" t="str">
        <v>Targets/Controller/Custom Devices/PickeringSwitching/Subunit1/Switch1_26</v>
      </c>
    </row>
    <row r="138" spans="1:2" x14ac:dyDescent="0.45">
      <c r="A138" t="str">
        <v>None</v>
      </c>
      <c r="B138" t="str">
        <v>TBD</v>
      </c>
    </row>
    <row r="139" spans="1:2" x14ac:dyDescent="0.45">
      <c r="A139" t="str">
        <v>ATE/IO22/AO</v>
      </c>
      <c r="B139" t="str">
        <v>Targets/Controller/Hardware/Chassis/DAQ/PXI1Slot15/Analog Output/AO21</v>
      </c>
    </row>
    <row r="140" spans="1:2" x14ac:dyDescent="0.45">
      <c r="A140" t="str">
        <v>ATE/IO22/PWM_FR</v>
      </c>
      <c r="B140" t="str">
        <v>Targets/Controller/Custom Devices/FPGA Addon/Scalars/Scalar Outputs/PWM.Out.IO22/FREQ</v>
      </c>
    </row>
    <row r="141" spans="1:2" x14ac:dyDescent="0.45">
      <c r="A141" t="str">
        <v>ATE/IO22/PWM_DC</v>
      </c>
      <c r="B141" t="str">
        <v>Targets/Controller/Custom Devices/FPGA Addon/Scalars/Scalar Outputs/PWM.Out.IO22/DC</v>
      </c>
    </row>
    <row r="142" spans="1:2" x14ac:dyDescent="0.45">
      <c r="A142" t="str">
        <v>None</v>
      </c>
      <c r="B142" t="str">
        <v>Targets/Controller/Hardware/SLSC/SLSC Chassis/Modules/Slot 8 (SLSC-12201 DIO)/Bank 1/Port 2/Line 5/Direction</v>
      </c>
    </row>
    <row r="143" spans="1:2" x14ac:dyDescent="0.45">
      <c r="A143" t="str">
        <v>None</v>
      </c>
      <c r="B143" t="str">
        <v>TBD</v>
      </c>
    </row>
    <row r="144" spans="1:2" x14ac:dyDescent="0.45">
      <c r="A144" t="str">
        <v>ATE/IO22/Select_DO_or_AOR</v>
      </c>
      <c r="B144" t="str">
        <v>Targets/Controller/Custom Devices/PickeringSwitching/Subunit1/Switch1_27</v>
      </c>
    </row>
    <row r="145" spans="1:2" x14ac:dyDescent="0.45">
      <c r="A145" t="str">
        <v>ATE/IO22/Select_AOR</v>
      </c>
      <c r="B145" t="str">
        <v>Targets/Controller/Custom Devices/PickeringSwitching/Subunit1/Switch1_28</v>
      </c>
    </row>
    <row r="146" spans="1:2" x14ac:dyDescent="0.45">
      <c r="A146" t="str">
        <v>None</v>
      </c>
      <c r="B146" t="str">
        <v>TBD</v>
      </c>
    </row>
    <row r="147" spans="1:2" x14ac:dyDescent="0.45">
      <c r="A147" t="str">
        <v>ATE/IO23/AO</v>
      </c>
      <c r="B147" t="str">
        <v>Targets/Controller/Hardware/Chassis/DAQ/PXI1Slot15/Analog Output/AO22</v>
      </c>
    </row>
    <row r="148" spans="1:2" x14ac:dyDescent="0.45">
      <c r="A148" t="str">
        <v>ATE/IO23/PWM_FR</v>
      </c>
      <c r="B148" t="str">
        <v>Targets/Controller/Custom Devices/FPGA Addon/Scalars/Scalar Outputs/PWM.Out.IO23/FREQ</v>
      </c>
    </row>
    <row r="149" spans="1:2" x14ac:dyDescent="0.45">
      <c r="A149" t="str">
        <v>ATE/IO23/PWM_DC</v>
      </c>
      <c r="B149" t="str">
        <v>Targets/Controller/Custom Devices/FPGA Addon/Scalars/Scalar Outputs/PWM.Out.IO23/DC</v>
      </c>
    </row>
    <row r="150" spans="1:2" x14ac:dyDescent="0.45">
      <c r="A150" t="str">
        <v>None</v>
      </c>
      <c r="B150" t="str">
        <v>Targets/Controller/Hardware/SLSC/SLSC Chassis/Modules/Slot 8 (SLSC-12201 DIO)/Bank 1/Port 2/Line 6/Direction</v>
      </c>
    </row>
    <row r="151" spans="1:2" x14ac:dyDescent="0.45">
      <c r="A151" t="str">
        <v>None</v>
      </c>
      <c r="B151" t="str">
        <v>TBD</v>
      </c>
    </row>
    <row r="152" spans="1:2" x14ac:dyDescent="0.45">
      <c r="A152" t="str">
        <v>ATE/IO23/Select_DO_or_AOR</v>
      </c>
      <c r="B152" t="str">
        <v>Targets/Controller/Custom Devices/PickeringSwitching/Subunit1/Switch1_29</v>
      </c>
    </row>
    <row r="153" spans="1:2" x14ac:dyDescent="0.45">
      <c r="A153" t="str">
        <v>ATE/IO23/Select_AOR</v>
      </c>
      <c r="B153" t="str">
        <v>Targets/Controller/Custom Devices/PickeringSwitching/Subunit1/Switch1_30</v>
      </c>
    </row>
    <row r="154" spans="1:2" x14ac:dyDescent="0.45">
      <c r="A154" t="str">
        <v>None</v>
      </c>
      <c r="B154" t="str">
        <v>TBD</v>
      </c>
    </row>
    <row r="155" spans="1:2" x14ac:dyDescent="0.45">
      <c r="A155" t="str">
        <v>ATE/IO24/AO</v>
      </c>
      <c r="B155" t="str">
        <v>Targets/Controller/Hardware/Chassis/DAQ/PXI1Slot15/Analog Output/AO23</v>
      </c>
    </row>
    <row r="156" spans="1:2" x14ac:dyDescent="0.45">
      <c r="A156" t="str">
        <v>ATE/IO24/PWM_FR</v>
      </c>
      <c r="B156" t="str">
        <v>Targets/Controller/Custom Devices/FPGA Addon/Scalars/Scalar Outputs/PWM.Out.IO24/FREQ</v>
      </c>
    </row>
    <row r="157" spans="1:2" x14ac:dyDescent="0.45">
      <c r="A157" t="str">
        <v>ATE/IO24/PWM_DC</v>
      </c>
      <c r="B157" t="str">
        <v>Targets/Controller/Custom Devices/FPGA Addon/Scalars/Scalar Outputs/PWM.Out.IO24/DC</v>
      </c>
    </row>
    <row r="158" spans="1:2" x14ac:dyDescent="0.45">
      <c r="A158" t="str">
        <v>None</v>
      </c>
      <c r="B158" t="str">
        <v>Targets/Controller/Hardware/SLSC/SLSC Chassis/Modules/Slot 8 (SLSC-12201 DIO)/Bank 1/Port 2/Line 7/Direction</v>
      </c>
    </row>
    <row r="159" spans="1:2" x14ac:dyDescent="0.45">
      <c r="A159" t="str">
        <v>None</v>
      </c>
      <c r="B159" t="str">
        <v>TBD</v>
      </c>
    </row>
    <row r="160" spans="1:2" x14ac:dyDescent="0.45">
      <c r="A160" t="str">
        <v>ATE/IO24/Select_DO_or_AOR</v>
      </c>
      <c r="B160" t="str">
        <v>Targets/Controller/Custom Devices/PickeringSwitching/Subunit1/Switch1_31</v>
      </c>
    </row>
    <row r="161" spans="1:2" x14ac:dyDescent="0.45">
      <c r="A161" t="str">
        <v>ATE/IO24/Select_AOR</v>
      </c>
      <c r="B161" t="str">
        <v>Targets/Controller/Custom Devices/PickeringSwitching/Subunit1/Switch1_32</v>
      </c>
    </row>
    <row r="162" spans="1:2" x14ac:dyDescent="0.45">
      <c r="A162" t="str">
        <v>None</v>
      </c>
      <c r="B162" t="str">
        <v>TBD</v>
      </c>
    </row>
    <row r="163" spans="1:2" x14ac:dyDescent="0.45">
      <c r="A163" t="str">
        <v>ATE/IO25/AO</v>
      </c>
      <c r="B163" t="str">
        <v>Targets/Controller/Hardware/Chassis/DAQ/PXI1Slot15/Analog Output/AO24</v>
      </c>
    </row>
    <row r="164" spans="1:2" x14ac:dyDescent="0.45">
      <c r="A164" t="str">
        <v>ATE/IO25/PWM_FR</v>
      </c>
      <c r="B164" t="str">
        <v>Targets/Controller/Custom Devices/FPGA Addon/Scalars/Scalar Outputs/PWM.Out.IO25/FREQ</v>
      </c>
    </row>
    <row r="165" spans="1:2" x14ac:dyDescent="0.45">
      <c r="A165" t="str">
        <v>ATE/IO25/PWM_DC</v>
      </c>
      <c r="B165" t="str">
        <v>Targets/Controller/Custom Devices/FPGA Addon/Scalars/Scalar Outputs/PWM.Out.IO25/DC</v>
      </c>
    </row>
    <row r="166" spans="1:2" x14ac:dyDescent="0.45">
      <c r="A166" t="str">
        <v>None</v>
      </c>
      <c r="B166" t="str">
        <v>Targets/Controller/Hardware/SLSC/SLSC Chassis/Modules/Slot 8 (SLSC-12201 DIO)/Bank 1/Port 3/Line 0/Direction</v>
      </c>
    </row>
    <row r="167" spans="1:2" x14ac:dyDescent="0.45">
      <c r="A167" t="str">
        <v>None</v>
      </c>
      <c r="B167" t="str">
        <v>TBD</v>
      </c>
    </row>
    <row r="168" spans="1:2" x14ac:dyDescent="0.45">
      <c r="A168" t="str">
        <v>ATE/IO25/Select_DO_or_AOR</v>
      </c>
      <c r="B168" t="str">
        <v>Targets/Controller/Custom Devices/PickeringSwitching/Subunit1/Switch1_33</v>
      </c>
    </row>
    <row r="169" spans="1:2" x14ac:dyDescent="0.45">
      <c r="A169" t="str">
        <v>ATE/IO25/Select_AOR</v>
      </c>
      <c r="B169" t="str">
        <v>Targets/Controller/Custom Devices/PickeringSwitching/Subunit1/Switch1_34</v>
      </c>
    </row>
    <row r="170" spans="1:2" x14ac:dyDescent="0.45">
      <c r="A170" t="str">
        <v>None</v>
      </c>
      <c r="B170" t="str">
        <v>TBD</v>
      </c>
    </row>
    <row r="171" spans="1:2" x14ac:dyDescent="0.45">
      <c r="A171" t="str">
        <v>ATE/IO26/AO</v>
      </c>
      <c r="B171" t="str">
        <v>Targets/Controller/Hardware/Chassis/DAQ/PXI1Slot15/Analog Output/AO25</v>
      </c>
    </row>
    <row r="172" spans="1:2" x14ac:dyDescent="0.45">
      <c r="A172" t="str">
        <v>ATE/IO26/PWM_FR</v>
      </c>
      <c r="B172" t="str">
        <v>Targets/Controller/Custom Devices/FPGA Addon/Scalars/Scalar Outputs/PWM.Out.IO26/FREQ</v>
      </c>
    </row>
    <row r="173" spans="1:2" x14ac:dyDescent="0.45">
      <c r="A173" t="str">
        <v>ATE/IO26/PWM_DC</v>
      </c>
      <c r="B173" t="str">
        <v>Targets/Controller/Custom Devices/FPGA Addon/Scalars/Scalar Outputs/PWM.Out.IO26/DC</v>
      </c>
    </row>
    <row r="174" spans="1:2" x14ac:dyDescent="0.45">
      <c r="A174" t="str">
        <v>None</v>
      </c>
      <c r="B174" t="str">
        <v>Targets/Controller/Hardware/SLSC/SLSC Chassis/Modules/Slot 8 (SLSC-12201 DIO)/Bank 1/Port 3/Line 1/Direction</v>
      </c>
    </row>
    <row r="175" spans="1:2" x14ac:dyDescent="0.45">
      <c r="A175" t="str">
        <v>None</v>
      </c>
      <c r="B175" t="str">
        <v>TBD</v>
      </c>
    </row>
    <row r="176" spans="1:2" x14ac:dyDescent="0.45">
      <c r="A176" t="str">
        <v>ATE/IO26/Select_DO_or_AOR</v>
      </c>
      <c r="B176" t="str">
        <v>Targets/Controller/Custom Devices/PickeringSwitching/Subunit1/Switch1_35</v>
      </c>
    </row>
    <row r="177" spans="1:2" x14ac:dyDescent="0.45">
      <c r="A177" t="str">
        <v>ATE/IO26/Select_AOR</v>
      </c>
      <c r="B177" t="str">
        <v>Targets/Controller/Custom Devices/PickeringSwitching/Subunit1/Switch1_36</v>
      </c>
    </row>
    <row r="178" spans="1:2" x14ac:dyDescent="0.45">
      <c r="A178" t="str">
        <v>None</v>
      </c>
      <c r="B178" t="str">
        <v>TBD</v>
      </c>
    </row>
    <row r="179" spans="1:2" x14ac:dyDescent="0.45">
      <c r="A179" t="str">
        <v>ATE/IO27/AO</v>
      </c>
      <c r="B179" t="str">
        <v>Targets/Controller/Hardware/Chassis/DAQ/PXI1Slot15/Analog Output/AO26</v>
      </c>
    </row>
    <row r="180" spans="1:2" x14ac:dyDescent="0.45">
      <c r="A180" t="str">
        <v>ATE/IO27/PWM_FR</v>
      </c>
      <c r="B180" t="str">
        <v>Targets/Controller/Custom Devices/FPGA Addon/Scalars/Scalar Outputs/PWM.Out.IO27/FREQ</v>
      </c>
    </row>
    <row r="181" spans="1:2" x14ac:dyDescent="0.45">
      <c r="A181" t="str">
        <v>ATE/IO27/PWM_DC</v>
      </c>
      <c r="B181" t="str">
        <v>Targets/Controller/Custom Devices/FPGA Addon/Scalars/Scalar Outputs/PWM.Out.IO27/DC</v>
      </c>
    </row>
    <row r="182" spans="1:2" x14ac:dyDescent="0.45">
      <c r="A182" t="str">
        <v>None</v>
      </c>
      <c r="B182" t="str">
        <v>Targets/Controller/Hardware/SLSC/SLSC Chassis/Modules/Slot 8 (SLSC-12201 DIO)/Bank 1/Port 3/Line 2/Direction</v>
      </c>
    </row>
    <row r="183" spans="1:2" x14ac:dyDescent="0.45">
      <c r="A183" t="str">
        <v>None</v>
      </c>
      <c r="B183" t="str">
        <v>TBD</v>
      </c>
    </row>
    <row r="184" spans="1:2" x14ac:dyDescent="0.45">
      <c r="A184" t="str">
        <v>ATE/IO27/Select_DO_or_AOR</v>
      </c>
      <c r="B184" t="str">
        <v>Targets/Controller/Custom Devices/PickeringSwitching/Subunit1/Switch1_37</v>
      </c>
    </row>
    <row r="185" spans="1:2" x14ac:dyDescent="0.45">
      <c r="A185" t="str">
        <v>ATE/IO27/Select_AOR</v>
      </c>
      <c r="B185" t="str">
        <v>Targets/Controller/Custom Devices/PickeringSwitching/Subunit1/Switch1_38</v>
      </c>
    </row>
    <row r="186" spans="1:2" x14ac:dyDescent="0.45">
      <c r="A186" t="str">
        <v>None</v>
      </c>
      <c r="B186" t="str">
        <v>TBD</v>
      </c>
    </row>
    <row r="187" spans="1:2" x14ac:dyDescent="0.45">
      <c r="A187" t="str">
        <v>ATE/IO28/AO</v>
      </c>
      <c r="B187" t="str">
        <v>Targets/Controller/Hardware/Chassis/DAQ/PXI1Slot15/Analog Output/AO27</v>
      </c>
    </row>
    <row r="188" spans="1:2" x14ac:dyDescent="0.45">
      <c r="A188" t="str">
        <v>ATE/IO28/PWM_FR</v>
      </c>
      <c r="B188" t="str">
        <v>Targets/Controller/Custom Devices/FPGA Addon/Scalars/Scalar Outputs/PWM.Out.IO28/FREQ</v>
      </c>
    </row>
    <row r="189" spans="1:2" x14ac:dyDescent="0.45">
      <c r="A189" t="str">
        <v>ATE/IO28/PWM_DC</v>
      </c>
      <c r="B189" t="str">
        <v>Targets/Controller/Custom Devices/FPGA Addon/Scalars/Scalar Outputs/PWM.Out.IO28/DC</v>
      </c>
    </row>
    <row r="190" spans="1:2" x14ac:dyDescent="0.45">
      <c r="A190" t="str">
        <v>None</v>
      </c>
      <c r="B190" t="str">
        <v>Targets/Controller/Hardware/SLSC/SLSC Chassis/Modules/Slot 8 (SLSC-12201 DIO)/Bank 1/Port 3/Line 3/Direction</v>
      </c>
    </row>
    <row r="191" spans="1:2" x14ac:dyDescent="0.45">
      <c r="A191" t="str">
        <v>None</v>
      </c>
      <c r="B191" t="str">
        <v>TBD</v>
      </c>
    </row>
    <row r="192" spans="1:2" x14ac:dyDescent="0.45">
      <c r="A192" t="str">
        <v>ATE/IO28/Select_DO_or_AOR</v>
      </c>
      <c r="B192" t="str">
        <v>Targets/Controller/Custom Devices/PickeringSwitching/Subunit1/Switch1_39</v>
      </c>
    </row>
    <row r="193" spans="1:2" x14ac:dyDescent="0.45">
      <c r="A193" t="str">
        <v>ATE/IO28/Select_AOR</v>
      </c>
      <c r="B193" t="str">
        <v>Targets/Controller/Custom Devices/PickeringSwitching/Subunit1/Switch1_40</v>
      </c>
    </row>
    <row r="194" spans="1:2" x14ac:dyDescent="0.45">
      <c r="A194" t="str">
        <v>None</v>
      </c>
      <c r="B194" t="str">
        <v>TBD</v>
      </c>
    </row>
    <row r="195" spans="1:2" x14ac:dyDescent="0.45">
      <c r="A195" t="str">
        <v>ATE/IO29/AO</v>
      </c>
      <c r="B195" t="str">
        <v>Targets/Controller/Hardware/Chassis/DAQ/PXI1Slot15/Analog Output/AO28</v>
      </c>
    </row>
    <row r="196" spans="1:2" x14ac:dyDescent="0.45">
      <c r="A196" t="str">
        <v>ATE/IO29/PWM_FR</v>
      </c>
      <c r="B196" t="str">
        <v>Targets/Controller/Custom Devices/FPGA Addon/Scalars/Scalar Outputs/PWM.Out.IO29/FREQ</v>
      </c>
    </row>
    <row r="197" spans="1:2" x14ac:dyDescent="0.45">
      <c r="A197" t="str">
        <v>ATE/IO29/PWM_DC</v>
      </c>
      <c r="B197" t="str">
        <v>Targets/Controller/Custom Devices/FPGA Addon/Scalars/Scalar Outputs/PWM.Out.IO29/DC</v>
      </c>
    </row>
    <row r="198" spans="1:2" x14ac:dyDescent="0.45">
      <c r="A198" t="str">
        <v>None</v>
      </c>
      <c r="B198" t="str">
        <v>Targets/Controller/Hardware/SLSC/SLSC Chassis/Modules/Slot 8 (SLSC-12201 DIO)/Bank 1/Port 3/Line 4/Direction</v>
      </c>
    </row>
    <row r="199" spans="1:2" x14ac:dyDescent="0.45">
      <c r="A199" t="str">
        <v>None</v>
      </c>
      <c r="B199" t="str">
        <v>TBD</v>
      </c>
    </row>
    <row r="200" spans="1:2" x14ac:dyDescent="0.45">
      <c r="A200" t="str">
        <v>ATE/IO29/Select_DO_or_AOR</v>
      </c>
      <c r="B200" t="str">
        <v>Targets/Controller/Custom Devices/PickeringSwitching/Subunit1/Switch1_41</v>
      </c>
    </row>
    <row r="201" spans="1:2" x14ac:dyDescent="0.45">
      <c r="A201" t="str">
        <v>ATE/IO29/Select_AOR</v>
      </c>
      <c r="B201" t="str">
        <v>Targets/Controller/Custom Devices/PickeringSwitching/Subunit1/Switch1_42</v>
      </c>
    </row>
    <row r="202" spans="1:2" x14ac:dyDescent="0.45">
      <c r="A202" t="str">
        <v>None</v>
      </c>
      <c r="B202" t="str">
        <v>TBD</v>
      </c>
    </row>
    <row r="203" spans="1:2" x14ac:dyDescent="0.45">
      <c r="A203" t="str">
        <v>ATE/IO30/AO</v>
      </c>
      <c r="B203" t="str">
        <v>Targets/Controller/Hardware/Chassis/DAQ/PXI1Slot15/Analog Output/AO29</v>
      </c>
    </row>
    <row r="204" spans="1:2" x14ac:dyDescent="0.45">
      <c r="A204" t="str">
        <v>ATE/IO30/PWM_FR</v>
      </c>
      <c r="B204" t="str">
        <v>Targets/Controller/Custom Devices/FPGA Addon/Scalars/Scalar Outputs/PWM.Out.IO30/FREQ</v>
      </c>
    </row>
    <row r="205" spans="1:2" x14ac:dyDescent="0.45">
      <c r="A205" t="str">
        <v>ATE/IO30/PWM_DC</v>
      </c>
      <c r="B205" t="str">
        <v>Targets/Controller/Custom Devices/FPGA Addon/Scalars/Scalar Outputs/PWM.Out.IO30/DC</v>
      </c>
    </row>
    <row r="206" spans="1:2" x14ac:dyDescent="0.45">
      <c r="A206" t="str">
        <v>None</v>
      </c>
      <c r="B206" t="str">
        <v>Targets/Controller/Hardware/SLSC/SLSC Chassis/Modules/Slot 8 (SLSC-12201 DIO)/Bank 1/Port 3/Line 5/Direction</v>
      </c>
    </row>
    <row r="207" spans="1:2" x14ac:dyDescent="0.45">
      <c r="A207" t="str">
        <v>None</v>
      </c>
      <c r="B207" t="str">
        <v>TBD</v>
      </c>
    </row>
    <row r="208" spans="1:2" x14ac:dyDescent="0.45">
      <c r="A208" t="str">
        <v>ATE/IO30/Select_DO_or_AOR</v>
      </c>
      <c r="B208" t="str">
        <v>Targets/Controller/Custom Devices/PickeringSwitching/Subunit1/Switch1_43</v>
      </c>
    </row>
    <row r="209" spans="1:2" x14ac:dyDescent="0.45">
      <c r="A209" t="str">
        <v>ATE/IO30/Select_AOR</v>
      </c>
      <c r="B209" t="str">
        <v>Targets/Controller/Custom Devices/PickeringSwitching/Subunit1/Switch1_44</v>
      </c>
    </row>
    <row r="210" spans="1:2" x14ac:dyDescent="0.45">
      <c r="A210" t="str">
        <v>None</v>
      </c>
      <c r="B210" t="str">
        <v>TBD</v>
      </c>
    </row>
    <row r="211" spans="1:2" x14ac:dyDescent="0.45">
      <c r="A211" t="str">
        <v>ATE/IO31/AO</v>
      </c>
      <c r="B211" t="str">
        <v>Targets/Controller/Hardware/Chassis/DAQ/PXI1Slot15/Analog Output/AO30</v>
      </c>
    </row>
    <row r="212" spans="1:2" x14ac:dyDescent="0.45">
      <c r="A212" t="str">
        <v>ATE/IO31/PWM_FR</v>
      </c>
      <c r="B212" t="str">
        <v>Targets/Controller/Custom Devices/FPGA Addon/Scalars/Scalar Outputs/PWM.Out.IO31/FREQ</v>
      </c>
    </row>
    <row r="213" spans="1:2" x14ac:dyDescent="0.45">
      <c r="A213" t="str">
        <v>ATE/IO31/PWM_DC</v>
      </c>
      <c r="B213" t="str">
        <v>Targets/Controller/Custom Devices/FPGA Addon/Scalars/Scalar Outputs/PWM.Out.IO31/DC</v>
      </c>
    </row>
    <row r="214" spans="1:2" x14ac:dyDescent="0.45">
      <c r="A214" t="str">
        <v>None</v>
      </c>
      <c r="B214" t="str">
        <v>Targets/Controller/Hardware/SLSC/SLSC Chassis/Modules/Slot 8 (SLSC-12201 DIO)/Bank 1/Port 3/Line 6/Direction</v>
      </c>
    </row>
    <row r="215" spans="1:2" x14ac:dyDescent="0.45">
      <c r="A215" t="str">
        <v>None</v>
      </c>
      <c r="B215" t="str">
        <v>TBD</v>
      </c>
    </row>
    <row r="216" spans="1:2" x14ac:dyDescent="0.45">
      <c r="A216" t="str">
        <v>ATE/IO31/Select_DO_or_AOR</v>
      </c>
      <c r="B216" t="str">
        <v>Targets/Controller/Custom Devices/PickeringSwitching/Subunit1/Switch1_45</v>
      </c>
    </row>
    <row r="217" spans="1:2" x14ac:dyDescent="0.45">
      <c r="A217" t="str">
        <v>ATE/IO31/Select_AOR</v>
      </c>
      <c r="B217" t="str">
        <v>Targets/Controller/Custom Devices/PickeringSwitching/Subunit1/Switch1_46</v>
      </c>
    </row>
    <row r="218" spans="1:2" x14ac:dyDescent="0.45">
      <c r="A218" t="str">
        <v>None</v>
      </c>
      <c r="B218" t="str">
        <v>TBD</v>
      </c>
    </row>
    <row r="219" spans="1:2" x14ac:dyDescent="0.45">
      <c r="A219" t="str">
        <v>ATE/IO32/AO</v>
      </c>
      <c r="B219" t="str">
        <v>Targets/Controller/Hardware/Chassis/DAQ/PXI1Slot15/Analog Output/AO31</v>
      </c>
    </row>
    <row r="220" spans="1:2" x14ac:dyDescent="0.45">
      <c r="A220" t="str">
        <v>ATE/IO32/PWM_FR</v>
      </c>
      <c r="B220" t="str">
        <v>Targets/Controller/Custom Devices/FPGA Addon/Scalars/Scalar Outputs/PWM.Out.IO32/FREQ</v>
      </c>
    </row>
    <row r="221" spans="1:2" x14ac:dyDescent="0.45">
      <c r="A221" t="str">
        <v>ATE/IO32/PWM_DC</v>
      </c>
      <c r="B221" t="str">
        <v>Targets/Controller/Custom Devices/FPGA Addon/Scalars/Scalar Outputs/PWM.Out.IO32/DC</v>
      </c>
    </row>
    <row r="222" spans="1:2" x14ac:dyDescent="0.45">
      <c r="A222" t="str">
        <v>None</v>
      </c>
      <c r="B222" t="str">
        <v>Targets/Controller/Hardware/SLSC/SLSC Chassis/Modules/Slot 8 (SLSC-12201 DIO)/Bank 1/Port 3/Line 7/Direction</v>
      </c>
    </row>
    <row r="223" spans="1:2" x14ac:dyDescent="0.45">
      <c r="A223" t="str">
        <v>None</v>
      </c>
      <c r="B223" t="str">
        <v>TBD</v>
      </c>
    </row>
    <row r="224" spans="1:2" x14ac:dyDescent="0.45">
      <c r="A224" t="str">
        <v>ATE/IO32/Select_DO_or_AOR</v>
      </c>
      <c r="B224" t="str">
        <v>Targets/Controller/Custom Devices/PickeringSwitching/Subunit1/Switch1_47</v>
      </c>
    </row>
    <row r="225" spans="1:2" x14ac:dyDescent="0.45">
      <c r="A225" t="str">
        <v>ATE/IO32/Select_AOR</v>
      </c>
      <c r="B225" t="str">
        <v>Targets/Controller/Custom Devices/PickeringSwitching/Subunit1/Switch1_48</v>
      </c>
    </row>
    <row r="226" spans="1:2" x14ac:dyDescent="0.45">
      <c r="A226" t="str">
        <v>None</v>
      </c>
      <c r="B226" t="str">
        <v>TBD</v>
      </c>
    </row>
    <row r="227" spans="1:2" x14ac:dyDescent="0.45">
      <c r="A227">
        <v>0</v>
      </c>
      <c r="B227">
        <v>0</v>
      </c>
    </row>
    <row r="228" spans="1:2" x14ac:dyDescent="0.45">
      <c r="A228" t="str">
        <v>ATE/IO33/AO</v>
      </c>
      <c r="B228" t="str">
        <v>Targets/Controller/Hardware/Chassis/DAQ/PXI1Slot11/Analog Output/AO0</v>
      </c>
    </row>
    <row r="229" spans="1:2" x14ac:dyDescent="0.45">
      <c r="A229" t="str">
        <v>None</v>
      </c>
      <c r="B229" t="str">
        <v>TBD</v>
      </c>
    </row>
    <row r="230" spans="1:2" x14ac:dyDescent="0.45">
      <c r="A230" t="str">
        <v>ATE/IO33/Select_AOR</v>
      </c>
      <c r="B230" t="str">
        <v>Targets/Controller/Custom Devices/PickeringSwitching/Subunit1/Switch1_51</v>
      </c>
    </row>
    <row r="231" spans="1:2" x14ac:dyDescent="0.45">
      <c r="A231" t="str">
        <v>None</v>
      </c>
      <c r="B231" t="str">
        <v>TBD</v>
      </c>
    </row>
    <row r="232" spans="1:2" x14ac:dyDescent="0.45">
      <c r="A232" t="str">
        <v>ATE/IO34/AO</v>
      </c>
      <c r="B232" t="str">
        <v>Targets/Controller/Hardware/Chassis/DAQ/PXI1Slot11/Analog Output/AO1</v>
      </c>
    </row>
    <row r="233" spans="1:2" x14ac:dyDescent="0.45">
      <c r="A233" t="str">
        <v>None</v>
      </c>
      <c r="B233" t="str">
        <v>TBD</v>
      </c>
    </row>
    <row r="234" spans="1:2" x14ac:dyDescent="0.45">
      <c r="A234" t="str">
        <v>ATE/IO34/Select_AOR</v>
      </c>
      <c r="B234" t="str">
        <v>Targets/Controller/Custom Devices/PickeringSwitching/Subunit1/Switch1_52</v>
      </c>
    </row>
    <row r="235" spans="1:2" x14ac:dyDescent="0.45">
      <c r="A235" t="str">
        <v>None</v>
      </c>
      <c r="B235" t="str">
        <v>TBD</v>
      </c>
    </row>
    <row r="236" spans="1:2" x14ac:dyDescent="0.45">
      <c r="A236" t="str">
        <v>ATE/IO35/AO</v>
      </c>
      <c r="B236" t="str">
        <v>Targets/Controller/Hardware/Chassis/DAQ/PXI1Slot11/Analog Output/AO2</v>
      </c>
    </row>
    <row r="237" spans="1:2" x14ac:dyDescent="0.45">
      <c r="A237" t="str">
        <v>None</v>
      </c>
      <c r="B237" t="str">
        <v>TBD</v>
      </c>
    </row>
    <row r="238" spans="1:2" x14ac:dyDescent="0.45">
      <c r="A238" t="str">
        <v>ATE/IO35/Select_AOR</v>
      </c>
      <c r="B238" t="str">
        <v>Targets/Controller/Custom Devices/PickeringSwitching/Subunit1/Switch1_53</v>
      </c>
    </row>
    <row r="239" spans="1:2" x14ac:dyDescent="0.45">
      <c r="A239" t="str">
        <v>None</v>
      </c>
      <c r="B239" t="str">
        <v>TBD</v>
      </c>
    </row>
    <row r="240" spans="1:2" x14ac:dyDescent="0.45">
      <c r="A240" t="str">
        <v>ATE/IO36/AO</v>
      </c>
      <c r="B240" t="str">
        <v>Targets/Controller/Hardware/Chassis/DAQ/PXI1Slot11/Analog Output/AO3</v>
      </c>
    </row>
    <row r="241" spans="1:2" x14ac:dyDescent="0.45">
      <c r="A241" t="str">
        <v>None</v>
      </c>
      <c r="B241" t="str">
        <v>TBD</v>
      </c>
    </row>
    <row r="242" spans="1:2" x14ac:dyDescent="0.45">
      <c r="A242" t="str">
        <v>ATE/IO36/Select_AOR</v>
      </c>
      <c r="B242" t="str">
        <v>Targets/Controller/Custom Devices/PickeringSwitching/Subunit1/Switch1_54</v>
      </c>
    </row>
    <row r="243" spans="1:2" x14ac:dyDescent="0.45">
      <c r="A243" t="str">
        <v>None</v>
      </c>
      <c r="B243" t="str">
        <v>TBD</v>
      </c>
    </row>
    <row r="244" spans="1:2" x14ac:dyDescent="0.45">
      <c r="A244" t="str">
        <v>ATE/IO37/AO</v>
      </c>
      <c r="B244" t="str">
        <v>Targets/Controller/Hardware/Chassis/DAQ/PXI1Slot11/Analog Output/AO4</v>
      </c>
    </row>
    <row r="245" spans="1:2" x14ac:dyDescent="0.45">
      <c r="A245" t="str">
        <v>None</v>
      </c>
      <c r="B245" t="str">
        <v>TBD</v>
      </c>
    </row>
    <row r="246" spans="1:2" x14ac:dyDescent="0.45">
      <c r="A246" t="str">
        <v>ATE/IO37/Select_AOR</v>
      </c>
      <c r="B246" t="str">
        <v>Targets/Controller/Custom Devices/PickeringSwitching/Subunit1/Switch1_55</v>
      </c>
    </row>
    <row r="247" spans="1:2" x14ac:dyDescent="0.45">
      <c r="A247" t="str">
        <v>None</v>
      </c>
      <c r="B247" t="str">
        <v>TBD</v>
      </c>
    </row>
    <row r="248" spans="1:2" x14ac:dyDescent="0.45">
      <c r="A248" t="str">
        <v>ATE/IO38/AO</v>
      </c>
      <c r="B248" t="str">
        <v>Targets/Controller/Hardware/Chassis/DAQ/PXI1Slot11/Analog Output/AO5</v>
      </c>
    </row>
    <row r="249" spans="1:2" x14ac:dyDescent="0.45">
      <c r="A249" t="str">
        <v>None</v>
      </c>
      <c r="B249" t="str">
        <v>TBD</v>
      </c>
    </row>
    <row r="250" spans="1:2" x14ac:dyDescent="0.45">
      <c r="A250" t="str">
        <v>ATE/IO38/Select_AOR</v>
      </c>
      <c r="B250" t="str">
        <v>Targets/Controller/Custom Devices/PickeringSwitching/Subunit1/Switch1_56</v>
      </c>
    </row>
    <row r="251" spans="1:2" x14ac:dyDescent="0.45">
      <c r="A251" t="str">
        <v>None</v>
      </c>
      <c r="B251" t="str">
        <v>TBD</v>
      </c>
    </row>
    <row r="252" spans="1:2" x14ac:dyDescent="0.45">
      <c r="A252" t="str">
        <v>ATE/IO39/AO</v>
      </c>
      <c r="B252" t="str">
        <v>Targets/Controller/Hardware/Chassis/DAQ/PXI1Slot11/Analog Output/AO6</v>
      </c>
    </row>
    <row r="253" spans="1:2" x14ac:dyDescent="0.45">
      <c r="A253" t="str">
        <v>None</v>
      </c>
      <c r="B253" t="str">
        <v>TBD</v>
      </c>
    </row>
    <row r="254" spans="1:2" x14ac:dyDescent="0.45">
      <c r="A254" t="str">
        <v>ATE/IO39/Select_AOR</v>
      </c>
      <c r="B254" t="str">
        <v>Targets/Controller/Custom Devices/PickeringSwitching/Subunit1/Switch1_57</v>
      </c>
    </row>
    <row r="255" spans="1:2" x14ac:dyDescent="0.45">
      <c r="A255" t="str">
        <v>None</v>
      </c>
      <c r="B255" t="str">
        <v>TBD</v>
      </c>
    </row>
    <row r="256" spans="1:2" x14ac:dyDescent="0.45">
      <c r="A256" t="str">
        <v>ATE/IO40/AO</v>
      </c>
      <c r="B256" t="str">
        <v>Targets/Controller/Hardware/Chassis/DAQ/PXI1Slot11/Analog Output/AO7</v>
      </c>
    </row>
    <row r="257" spans="1:2" x14ac:dyDescent="0.45">
      <c r="A257" t="str">
        <v>None</v>
      </c>
      <c r="B257" t="str">
        <v>TBD</v>
      </c>
    </row>
    <row r="258" spans="1:2" x14ac:dyDescent="0.45">
      <c r="A258" t="str">
        <v>ATE/IO40/Select_AOR</v>
      </c>
      <c r="B258" t="str">
        <v>Targets/Controller/Custom Devices/PickeringSwitching/Subunit1/Switch1_58</v>
      </c>
    </row>
    <row r="259" spans="1:2" x14ac:dyDescent="0.45">
      <c r="A259" t="str">
        <v>None</v>
      </c>
      <c r="B259" t="str">
        <v>TBD</v>
      </c>
    </row>
    <row r="260" spans="1:2" x14ac:dyDescent="0.45">
      <c r="A260" t="str">
        <v>ATE/IO41/AO</v>
      </c>
      <c r="B260" t="str">
        <v>Targets/Controller/Hardware/Chassis/DAQ/PXI1Slot12/Analog Output/AO0</v>
      </c>
    </row>
    <row r="261" spans="1:2" x14ac:dyDescent="0.45">
      <c r="A261" t="str">
        <v>None</v>
      </c>
      <c r="B261" t="str">
        <v>TBD</v>
      </c>
    </row>
    <row r="262" spans="1:2" x14ac:dyDescent="0.45">
      <c r="A262" t="str">
        <v>ATE/IO41/Select_AOR</v>
      </c>
      <c r="B262" t="str">
        <v>Targets/Controller/Custom Devices/PickeringSwitching/Subunit1/Switch1_59</v>
      </c>
    </row>
    <row r="263" spans="1:2" x14ac:dyDescent="0.45">
      <c r="A263" t="str">
        <v>None</v>
      </c>
      <c r="B263" t="str">
        <v>TBD</v>
      </c>
    </row>
    <row r="264" spans="1:2" x14ac:dyDescent="0.45">
      <c r="A264" t="str">
        <v>ATE/IO42/AO</v>
      </c>
      <c r="B264" t="str">
        <v>Targets/Controller/Hardware/Chassis/DAQ/PXI1Slot12/Analog Output/AO1</v>
      </c>
    </row>
    <row r="265" spans="1:2" x14ac:dyDescent="0.45">
      <c r="A265" t="str">
        <v>None</v>
      </c>
      <c r="B265" t="str">
        <v>TBD</v>
      </c>
    </row>
    <row r="266" spans="1:2" x14ac:dyDescent="0.45">
      <c r="A266" t="str">
        <v>ATE/IO42/Select_AOR</v>
      </c>
      <c r="B266" t="str">
        <v>Targets/Controller/Custom Devices/PickeringSwitching/Subunit1/Switch1_60</v>
      </c>
    </row>
    <row r="267" spans="1:2" x14ac:dyDescent="0.45">
      <c r="A267" t="str">
        <v>None</v>
      </c>
      <c r="B267" t="str">
        <v>TBD</v>
      </c>
    </row>
    <row r="268" spans="1:2" x14ac:dyDescent="0.45">
      <c r="A268" t="str">
        <v>ATE/IO43/AO</v>
      </c>
      <c r="B268" t="str">
        <v>Targets/Controller/Hardware/Chassis/DAQ/PXI1Slot12/Analog Output/AO2</v>
      </c>
    </row>
    <row r="269" spans="1:2" x14ac:dyDescent="0.45">
      <c r="A269" t="str">
        <v>None</v>
      </c>
      <c r="B269" t="str">
        <v>TBD</v>
      </c>
    </row>
    <row r="270" spans="1:2" x14ac:dyDescent="0.45">
      <c r="A270" t="str">
        <v>ATE/IO43/Select_AOR</v>
      </c>
      <c r="B270" t="str">
        <v>Targets/Controller/Custom Devices/PickeringSwitching/Subunit1/Switch1_61</v>
      </c>
    </row>
    <row r="271" spans="1:2" x14ac:dyDescent="0.45">
      <c r="A271" t="str">
        <v>None</v>
      </c>
      <c r="B271" t="str">
        <v>TBD</v>
      </c>
    </row>
    <row r="272" spans="1:2" x14ac:dyDescent="0.45">
      <c r="A272" t="str">
        <v>ATE/IO44/AO</v>
      </c>
      <c r="B272" t="str">
        <v>Targets/Controller/Hardware/Chassis/DAQ/PXI1Slot12/Analog Output/AO3</v>
      </c>
    </row>
    <row r="273" spans="1:2" x14ac:dyDescent="0.45">
      <c r="A273" t="str">
        <v>None</v>
      </c>
      <c r="B273" t="str">
        <v>TBD</v>
      </c>
    </row>
    <row r="274" spans="1:2" x14ac:dyDescent="0.45">
      <c r="A274" t="str">
        <v>ATE/IO44/Select_AOR</v>
      </c>
      <c r="B274" t="str">
        <v>Targets/Controller/Custom Devices/PickeringSwitching/Subunit1/Switch1_62</v>
      </c>
    </row>
    <row r="275" spans="1:2" x14ac:dyDescent="0.45">
      <c r="A275" t="str">
        <v>None</v>
      </c>
      <c r="B275" t="str">
        <v>TBD</v>
      </c>
    </row>
    <row r="276" spans="1:2" x14ac:dyDescent="0.45">
      <c r="A276" t="str">
        <v>ATE/IO45/AO</v>
      </c>
      <c r="B276" t="str">
        <v>Targets/Controller/Hardware/Chassis/DAQ/PXI1Slot12/Analog Output/AO4</v>
      </c>
    </row>
    <row r="277" spans="1:2" x14ac:dyDescent="0.45">
      <c r="A277" t="str">
        <v>None</v>
      </c>
      <c r="B277" t="str">
        <v>TBD</v>
      </c>
    </row>
    <row r="278" spans="1:2" x14ac:dyDescent="0.45">
      <c r="A278" t="str">
        <v>ATE/IO45/Select_AOR</v>
      </c>
      <c r="B278" t="str">
        <v>Targets/Controller/Custom Devices/PickeringSwitching/Subunit1/Switch1_63</v>
      </c>
    </row>
    <row r="279" spans="1:2" x14ac:dyDescent="0.45">
      <c r="A279" t="str">
        <v>None</v>
      </c>
      <c r="B279" t="str">
        <v>TBD</v>
      </c>
    </row>
    <row r="280" spans="1:2" x14ac:dyDescent="0.45">
      <c r="A280" t="str">
        <v>ATE/IO46/AO</v>
      </c>
      <c r="B280" t="str">
        <v>Targets/Controller/Hardware/Chassis/DAQ/PXI1Slot12/Analog Output/AO5</v>
      </c>
    </row>
    <row r="281" spans="1:2" x14ac:dyDescent="0.45">
      <c r="A281" t="str">
        <v>None</v>
      </c>
      <c r="B281" t="str">
        <v>TBD</v>
      </c>
    </row>
    <row r="282" spans="1:2" x14ac:dyDescent="0.45">
      <c r="A282" t="str">
        <v>ATE/IO46/Select_AOR</v>
      </c>
      <c r="B282" t="str">
        <v>Targets/Controller/Custom Devices/PickeringSwitching/Subunit1/Switch1_64</v>
      </c>
    </row>
    <row r="283" spans="1:2" x14ac:dyDescent="0.45">
      <c r="A283" t="str">
        <v>None</v>
      </c>
      <c r="B283" t="str">
        <v>TBD</v>
      </c>
    </row>
    <row r="284" spans="1:2" x14ac:dyDescent="0.45">
      <c r="A284" t="str">
        <v>ATE/IO47/AO</v>
      </c>
      <c r="B284" t="str">
        <v>Targets/Controller/Hardware/Chassis/DAQ/PXI1Slot12/Analog Output/AO6</v>
      </c>
    </row>
    <row r="285" spans="1:2" x14ac:dyDescent="0.45">
      <c r="A285" t="str">
        <v>None</v>
      </c>
      <c r="B285" t="str">
        <v>TBD</v>
      </c>
    </row>
    <row r="286" spans="1:2" x14ac:dyDescent="0.45">
      <c r="A286" t="str">
        <v>ATE/IO47/Select_AOR</v>
      </c>
      <c r="B286" t="str">
        <v>Targets/Controller/Custom Devices/PickeringSwitching/Subunit1/Switch1_65</v>
      </c>
    </row>
    <row r="287" spans="1:2" x14ac:dyDescent="0.45">
      <c r="A287" t="str">
        <v>None</v>
      </c>
      <c r="B287" t="str">
        <v>TBD</v>
      </c>
    </row>
    <row r="288" spans="1:2" x14ac:dyDescent="0.45">
      <c r="A288" t="str">
        <v>ATE/IO48/AO</v>
      </c>
      <c r="B288" t="str">
        <v>Targets/Controller/Hardware/Chassis/DAQ/PXI1Slot12/Analog Output/AO7</v>
      </c>
    </row>
    <row r="289" spans="1:2" x14ac:dyDescent="0.45">
      <c r="A289" t="str">
        <v>None</v>
      </c>
      <c r="B289" t="str">
        <v>TBD</v>
      </c>
    </row>
    <row r="290" spans="1:2" x14ac:dyDescent="0.45">
      <c r="A290" t="str">
        <v>ATE/IO48/Select_AOR</v>
      </c>
      <c r="B290" t="str">
        <v>Targets/Controller/Custom Devices/PickeringSwitching/Subunit1/Switch1_66</v>
      </c>
    </row>
    <row r="291" spans="1:2" x14ac:dyDescent="0.45">
      <c r="A291" t="str">
        <v>None</v>
      </c>
      <c r="B291" t="str">
        <v>TBD</v>
      </c>
    </row>
    <row r="292" spans="1:2" x14ac:dyDescent="0.45">
      <c r="A292" t="str">
        <v>ATE/IO49/AO</v>
      </c>
      <c r="B292" t="str">
        <v>Targets/Controller/Hardware/Chassis/DAQ/PXI1Slot13/Analog Output/AO0</v>
      </c>
    </row>
    <row r="293" spans="1:2" x14ac:dyDescent="0.45">
      <c r="A293" t="str">
        <v>None</v>
      </c>
      <c r="B293" t="str">
        <v>TBD</v>
      </c>
    </row>
    <row r="294" spans="1:2" x14ac:dyDescent="0.45">
      <c r="A294" t="str">
        <v>ATE/IO49/Select_AOR</v>
      </c>
      <c r="B294" t="str">
        <v>Targets/Controller/Custom Devices/PickeringSwitching/Subunit1/Switch1_67</v>
      </c>
    </row>
    <row r="295" spans="1:2" x14ac:dyDescent="0.45">
      <c r="A295" t="str">
        <v>None</v>
      </c>
      <c r="B295" t="str">
        <v>TBD</v>
      </c>
    </row>
    <row r="296" spans="1:2" x14ac:dyDescent="0.45">
      <c r="A296" t="str">
        <v>ATE/IO50/AO</v>
      </c>
      <c r="B296" t="str">
        <v>Targets/Controller/Hardware/Chassis/DAQ/PXI1Slot13/Analog Output/AO1</v>
      </c>
    </row>
    <row r="297" spans="1:2" x14ac:dyDescent="0.45">
      <c r="A297" t="str">
        <v>None</v>
      </c>
      <c r="B297" t="str">
        <v>TBD</v>
      </c>
    </row>
    <row r="298" spans="1:2" x14ac:dyDescent="0.45">
      <c r="A298" t="str">
        <v>ATE/IO50/Select_AOR</v>
      </c>
      <c r="B298" t="str">
        <v>Targets/Controller/Custom Devices/PickeringSwitching/Subunit1/Switch1_68</v>
      </c>
    </row>
    <row r="299" spans="1:2" x14ac:dyDescent="0.45">
      <c r="A299" t="str">
        <v>None</v>
      </c>
      <c r="B299" t="str">
        <v>TBD</v>
      </c>
    </row>
    <row r="300" spans="1:2" x14ac:dyDescent="0.45">
      <c r="A300" t="str">
        <v>ATE/IO51/AO</v>
      </c>
      <c r="B300" t="str">
        <v>Targets/Controller/Hardware/Chassis/DAQ/PXI1Slot13/Analog Output/AO2</v>
      </c>
    </row>
    <row r="301" spans="1:2" x14ac:dyDescent="0.45">
      <c r="A301" t="str">
        <v>None</v>
      </c>
      <c r="B301" t="str">
        <v>TBD</v>
      </c>
    </row>
    <row r="302" spans="1:2" x14ac:dyDescent="0.45">
      <c r="A302" t="str">
        <v>ATE/IO51/Select_AOR</v>
      </c>
      <c r="B302" t="str">
        <v>Targets/Controller/Custom Devices/PickeringSwitching/Subunit1/Switch1_69</v>
      </c>
    </row>
    <row r="303" spans="1:2" x14ac:dyDescent="0.45">
      <c r="A303" t="str">
        <v>None</v>
      </c>
      <c r="B303" t="str">
        <v>TBD</v>
      </c>
    </row>
    <row r="304" spans="1:2" x14ac:dyDescent="0.45">
      <c r="A304" t="str">
        <v>ATE/IO52/AO</v>
      </c>
      <c r="B304" t="str">
        <v>Targets/Controller/Hardware/Chassis/DAQ/PXI1Slot13/Analog Output/AO3</v>
      </c>
    </row>
    <row r="305" spans="1:2" x14ac:dyDescent="0.45">
      <c r="A305" t="str">
        <v>None</v>
      </c>
      <c r="B305" t="str">
        <v>TBD</v>
      </c>
    </row>
    <row r="306" spans="1:2" x14ac:dyDescent="0.45">
      <c r="A306" t="str">
        <v>ATE/IO52/Select_AOR</v>
      </c>
      <c r="B306" t="str">
        <v>Targets/Controller/Custom Devices/PickeringSwitching/Subunit1/Switch1_70</v>
      </c>
    </row>
    <row r="307" spans="1:2" x14ac:dyDescent="0.45">
      <c r="A307" t="str">
        <v>None</v>
      </c>
      <c r="B307" t="str">
        <v>TBD</v>
      </c>
    </row>
    <row r="308" spans="1:2" x14ac:dyDescent="0.45">
      <c r="A308" t="str">
        <v>ATE/IO53/AO</v>
      </c>
      <c r="B308" t="str">
        <v>Targets/Controller/Hardware/Chassis/DAQ/PXI1Slot13/Analog Output/AO4</v>
      </c>
    </row>
    <row r="309" spans="1:2" x14ac:dyDescent="0.45">
      <c r="A309" t="str">
        <v>None</v>
      </c>
      <c r="B309" t="str">
        <v>TBD</v>
      </c>
    </row>
    <row r="310" spans="1:2" x14ac:dyDescent="0.45">
      <c r="A310" t="str">
        <v>ATE/IO53/Select_AOR</v>
      </c>
      <c r="B310" t="str">
        <v>Targets/Controller/Custom Devices/PickeringSwitching/Subunit1/Switch1_71</v>
      </c>
    </row>
    <row r="311" spans="1:2" x14ac:dyDescent="0.45">
      <c r="A311" t="str">
        <v>None</v>
      </c>
      <c r="B311" t="str">
        <v>TBD</v>
      </c>
    </row>
    <row r="312" spans="1:2" x14ac:dyDescent="0.45">
      <c r="A312" t="str">
        <v>ATE/IO54/AO</v>
      </c>
      <c r="B312" t="str">
        <v>Targets/Controller/Hardware/Chassis/DAQ/PXI1Slot13/Analog Output/AO5</v>
      </c>
    </row>
    <row r="313" spans="1:2" x14ac:dyDescent="0.45">
      <c r="A313" t="str">
        <v>None</v>
      </c>
      <c r="B313" t="str">
        <v>TBD</v>
      </c>
    </row>
    <row r="314" spans="1:2" x14ac:dyDescent="0.45">
      <c r="A314" t="str">
        <v>ATE/IO54/Select_AOR</v>
      </c>
      <c r="B314" t="str">
        <v>Targets/Controller/Custom Devices/PickeringSwitching/Subunit1/Switch1_72</v>
      </c>
    </row>
    <row r="315" spans="1:2" x14ac:dyDescent="0.45">
      <c r="A315" t="str">
        <v>None</v>
      </c>
      <c r="B315" t="str">
        <v>TBD</v>
      </c>
    </row>
    <row r="316" spans="1:2" x14ac:dyDescent="0.45">
      <c r="A316" t="str">
        <v>ATE/IO55/AO</v>
      </c>
      <c r="B316" t="str">
        <v>Targets/Controller/Hardware/Chassis/DAQ/PXI1Slot13/Analog Output/AO6</v>
      </c>
    </row>
    <row r="317" spans="1:2" x14ac:dyDescent="0.45">
      <c r="A317" t="str">
        <v>None</v>
      </c>
      <c r="B317" t="str">
        <v>TBD</v>
      </c>
    </row>
    <row r="318" spans="1:2" x14ac:dyDescent="0.45">
      <c r="A318" t="str">
        <v>ATE/IO55/Select_AOR</v>
      </c>
      <c r="B318" t="str">
        <v>Targets/Controller/Custom Devices/PickeringSwitching/Subunit1/Switch1_73</v>
      </c>
    </row>
    <row r="319" spans="1:2" x14ac:dyDescent="0.45">
      <c r="A319" t="str">
        <v>None</v>
      </c>
      <c r="B319" t="str">
        <v>TBD</v>
      </c>
    </row>
    <row r="320" spans="1:2" x14ac:dyDescent="0.45">
      <c r="A320" t="str">
        <v>ATE/IO56/AO</v>
      </c>
      <c r="B320" t="str">
        <v>Targets/Controller/Hardware/Chassis/DAQ/PXI1Slot13/Analog Output/AO7</v>
      </c>
    </row>
    <row r="321" spans="1:2" x14ac:dyDescent="0.45">
      <c r="A321" t="str">
        <v>None</v>
      </c>
      <c r="B321" t="str">
        <v>TBD</v>
      </c>
    </row>
    <row r="322" spans="1:2" x14ac:dyDescent="0.45">
      <c r="A322" t="str">
        <v>ATE/IO56/Select_AOR</v>
      </c>
      <c r="B322" t="str">
        <v>Targets/Controller/Custom Devices/PickeringSwitching/Subunit1/Switch1_74</v>
      </c>
    </row>
    <row r="323" spans="1:2" x14ac:dyDescent="0.45">
      <c r="A323" t="str">
        <v>None</v>
      </c>
      <c r="B323" t="str">
        <v>TBD</v>
      </c>
    </row>
    <row r="324" spans="1:2" x14ac:dyDescent="0.45">
      <c r="A324" t="str">
        <v>ATE/IO57/AO</v>
      </c>
      <c r="B324" t="str">
        <v>Targets/Controller/Hardware/Chassis/DAQ/PXI1Slot14/Analog Output/AO0</v>
      </c>
    </row>
    <row r="325" spans="1:2" x14ac:dyDescent="0.45">
      <c r="A325" t="str">
        <v>None</v>
      </c>
      <c r="B325" t="str">
        <v>TBD</v>
      </c>
    </row>
    <row r="326" spans="1:2" x14ac:dyDescent="0.45">
      <c r="A326" t="str">
        <v>ATE/IO57/Select_AOR</v>
      </c>
      <c r="B326" t="str">
        <v>Targets/Controller/Custom Devices/PickeringSwitching/Subunit1/Switch1_75</v>
      </c>
    </row>
    <row r="327" spans="1:2" x14ac:dyDescent="0.45">
      <c r="A327" t="str">
        <v>None</v>
      </c>
      <c r="B327" t="str">
        <v>TBD</v>
      </c>
    </row>
    <row r="328" spans="1:2" x14ac:dyDescent="0.45">
      <c r="A328" t="str">
        <v>ATE/IO58/AO</v>
      </c>
      <c r="B328" t="str">
        <v>Targets/Controller/Hardware/Chassis/DAQ/PXI1Slot14/Analog Output/AO1</v>
      </c>
    </row>
    <row r="329" spans="1:2" x14ac:dyDescent="0.45">
      <c r="A329" t="str">
        <v>None</v>
      </c>
      <c r="B329" t="str">
        <v>TBD</v>
      </c>
    </row>
    <row r="330" spans="1:2" x14ac:dyDescent="0.45">
      <c r="A330" t="str">
        <v>ATE/IO58/Select_AOR</v>
      </c>
      <c r="B330" t="str">
        <v>Targets/Controller/Custom Devices/PickeringSwitching/Subunit1/Switch1_76</v>
      </c>
    </row>
    <row r="331" spans="1:2" x14ac:dyDescent="0.45">
      <c r="A331" t="str">
        <v>None</v>
      </c>
      <c r="B331" t="str">
        <v>TBD</v>
      </c>
    </row>
    <row r="332" spans="1:2" x14ac:dyDescent="0.45">
      <c r="A332" t="str">
        <v>ATE/IO59/AO</v>
      </c>
      <c r="B332" t="str">
        <v>Targets/Controller/Hardware/Chassis/DAQ/PXI1Slot14/Analog Output/AO2</v>
      </c>
    </row>
    <row r="333" spans="1:2" x14ac:dyDescent="0.45">
      <c r="A333" t="str">
        <v>None</v>
      </c>
      <c r="B333" t="str">
        <v>TBD</v>
      </c>
    </row>
    <row r="334" spans="1:2" x14ac:dyDescent="0.45">
      <c r="A334" t="str">
        <v>ATE/IO59/Select_AOR</v>
      </c>
      <c r="B334" t="str">
        <v>Targets/Controller/Custom Devices/PickeringSwitching/Subunit1/Switch1_77</v>
      </c>
    </row>
    <row r="335" spans="1:2" x14ac:dyDescent="0.45">
      <c r="A335" t="str">
        <v>None</v>
      </c>
      <c r="B335" t="str">
        <v>TBD</v>
      </c>
    </row>
    <row r="336" spans="1:2" x14ac:dyDescent="0.45">
      <c r="A336" t="str">
        <v>ATE/IO60/AO</v>
      </c>
      <c r="B336" t="str">
        <v>Targets/Controller/Hardware/Chassis/DAQ/PXI1Slot14/Analog Output/AO3</v>
      </c>
    </row>
    <row r="337" spans="1:2" x14ac:dyDescent="0.45">
      <c r="A337" t="str">
        <v>None</v>
      </c>
      <c r="B337" t="str">
        <v>TBD</v>
      </c>
    </row>
    <row r="338" spans="1:2" x14ac:dyDescent="0.45">
      <c r="A338" t="str">
        <v>ATE/IO60/Select_AOR</v>
      </c>
      <c r="B338" t="str">
        <v>Targets/Controller/Custom Devices/PickeringSwitching/Subunit1/Switch1_78</v>
      </c>
    </row>
    <row r="339" spans="1:2" x14ac:dyDescent="0.45">
      <c r="A339" t="str">
        <v>None</v>
      </c>
      <c r="B339" t="str">
        <v>TBD</v>
      </c>
    </row>
    <row r="340" spans="1:2" x14ac:dyDescent="0.45">
      <c r="A340" t="str">
        <v>ATE/IO61/AO</v>
      </c>
      <c r="B340" t="str">
        <v>Targets/Controller/Hardware/Chassis/DAQ/PXI1Slot14/Analog Output/AO4</v>
      </c>
    </row>
    <row r="341" spans="1:2" x14ac:dyDescent="0.45">
      <c r="A341" t="str">
        <v>None</v>
      </c>
      <c r="B341" t="str">
        <v>TBD</v>
      </c>
    </row>
    <row r="342" spans="1:2" x14ac:dyDescent="0.45">
      <c r="A342" t="str">
        <v>ATE/IO61/Select_AOR</v>
      </c>
      <c r="B342" t="str">
        <v>Targets/Controller/Custom Devices/PickeringSwitching/Subunit1/Switch1_79</v>
      </c>
    </row>
    <row r="343" spans="1:2" x14ac:dyDescent="0.45">
      <c r="A343" t="str">
        <v>None</v>
      </c>
      <c r="B343" t="str">
        <v>TBD</v>
      </c>
    </row>
    <row r="344" spans="1:2" x14ac:dyDescent="0.45">
      <c r="A344" t="str">
        <v>ATE/IO62/AO</v>
      </c>
      <c r="B344" t="str">
        <v>Targets/Controller/Hardware/Chassis/DAQ/PXI1Slot14/Analog Output/AO5</v>
      </c>
    </row>
    <row r="345" spans="1:2" x14ac:dyDescent="0.45">
      <c r="A345" t="str">
        <v>None</v>
      </c>
      <c r="B345" t="str">
        <v>TBD</v>
      </c>
    </row>
    <row r="346" spans="1:2" x14ac:dyDescent="0.45">
      <c r="A346" t="str">
        <v>ATE/IO62/Select_AOR</v>
      </c>
      <c r="B346" t="str">
        <v>Targets/Controller/Custom Devices/PickeringSwitching/Subunit1/Switch1_80</v>
      </c>
    </row>
    <row r="347" spans="1:2" x14ac:dyDescent="0.45">
      <c r="A347" t="str">
        <v>None</v>
      </c>
      <c r="B347" t="str">
        <v>TBD</v>
      </c>
    </row>
    <row r="348" spans="1:2" x14ac:dyDescent="0.45">
      <c r="A348" t="str">
        <v>ATE/IO63/AO</v>
      </c>
      <c r="B348" t="str">
        <v>Targets/Controller/Hardware/Chassis/DAQ/PXI1Slot14/Analog Output/AO6</v>
      </c>
    </row>
    <row r="349" spans="1:2" x14ac:dyDescent="0.45">
      <c r="A349" t="str">
        <v>None</v>
      </c>
      <c r="B349" t="str">
        <v>TBD</v>
      </c>
    </row>
    <row r="350" spans="1:2" x14ac:dyDescent="0.45">
      <c r="A350" t="str">
        <v>ATE/IO63/Select_AOR</v>
      </c>
      <c r="B350" t="str">
        <v>Targets/Controller/Custom Devices/PickeringSwitching/Subunit1/Switch1_81</v>
      </c>
    </row>
    <row r="351" spans="1:2" x14ac:dyDescent="0.45">
      <c r="A351" t="str">
        <v>None</v>
      </c>
      <c r="B351" t="str">
        <v>TBD</v>
      </c>
    </row>
    <row r="352" spans="1:2" x14ac:dyDescent="0.45">
      <c r="A352" t="str">
        <v>ATE/IO64/AO</v>
      </c>
      <c r="B352" t="str">
        <v>Targets/Controller/Hardware/Chassis/DAQ/PXI1Slot14/Analog Output/AO7</v>
      </c>
    </row>
    <row r="353" spans="1:2" x14ac:dyDescent="0.45">
      <c r="A353" t="str">
        <v>None</v>
      </c>
      <c r="B353" t="str">
        <v>TBD</v>
      </c>
    </row>
    <row r="354" spans="1:2" x14ac:dyDescent="0.45">
      <c r="A354" t="str">
        <v>ATE/IO64/Select_AOR</v>
      </c>
      <c r="B354" t="str">
        <v>Targets/Controller/Custom Devices/PickeringSwitching/Subunit1/Switch1_82</v>
      </c>
    </row>
    <row r="355" spans="1:2" x14ac:dyDescent="0.45">
      <c r="A355" t="str">
        <v>None</v>
      </c>
      <c r="B355" t="str">
        <v>TBD</v>
      </c>
    </row>
    <row r="356" spans="1:2" x14ac:dyDescent="0.45">
      <c r="A356">
        <v>0</v>
      </c>
      <c r="B356">
        <v>0</v>
      </c>
    </row>
    <row r="357" spans="1:2" x14ac:dyDescent="0.45">
      <c r="A357" t="str">
        <v>ATE/IO65/PWM_FR</v>
      </c>
      <c r="B357" t="str">
        <v>Targets/Controller/Custom Devices/FPGA Addon/Scalars/Scalar Outputs/PWM.Out.IO65/FREQ</v>
      </c>
    </row>
    <row r="358" spans="1:2" x14ac:dyDescent="0.45">
      <c r="A358" t="str">
        <v>ATE/IO65/PWM_DC</v>
      </c>
      <c r="B358" t="str">
        <v>Targets/Controller/Custom Devices/FPGA Addon/Scalars/Scalar Outputs/PWM.Out.IO65/DC</v>
      </c>
    </row>
    <row r="359" spans="1:2" x14ac:dyDescent="0.45">
      <c r="A359" t="str">
        <v>None</v>
      </c>
      <c r="B359" t="str">
        <v>Targets/Controller/Hardware/SLSC/SLSC Chassis/Modules/Slot 9 (SLSC-12201 DIO)/Bank 0/Port 0/Line 0/Direction</v>
      </c>
    </row>
    <row r="360" spans="1:2" x14ac:dyDescent="0.45">
      <c r="A360" t="str">
        <v>None</v>
      </c>
      <c r="B360" t="str">
        <v>TBD</v>
      </c>
    </row>
    <row r="361" spans="1:2" x14ac:dyDescent="0.45">
      <c r="A361" t="str">
        <v>ATE/IO66/PWM_FR</v>
      </c>
      <c r="B361" t="str">
        <v>Targets/Controller/Custom Devices/FPGA Addon/Scalars/Scalar Outputs/PWM.Out.IO66/FREQ</v>
      </c>
    </row>
    <row r="362" spans="1:2" x14ac:dyDescent="0.45">
      <c r="A362" t="str">
        <v>ATE/IO66/PWM_DC</v>
      </c>
      <c r="B362" t="str">
        <v>Targets/Controller/Custom Devices/FPGA Addon/Scalars/Scalar Outputs/PWM.Out.IO66/DC</v>
      </c>
    </row>
    <row r="363" spans="1:2" x14ac:dyDescent="0.45">
      <c r="A363" t="str">
        <v>None</v>
      </c>
      <c r="B363" t="str">
        <v>Targets/Controller/Hardware/SLSC/SLSC Chassis/Modules/Slot 9 (SLSC-12201 DIO)/Bank 0/Port 0/Line 1/Direction</v>
      </c>
    </row>
    <row r="364" spans="1:2" x14ac:dyDescent="0.45">
      <c r="A364" t="str">
        <v>None</v>
      </c>
      <c r="B364" t="str">
        <v>TBD</v>
      </c>
    </row>
    <row r="365" spans="1:2" x14ac:dyDescent="0.45">
      <c r="A365" t="str">
        <v>ATE/IO67/PWM_FR</v>
      </c>
      <c r="B365" t="str">
        <v>Targets/Controller/Custom Devices/FPGA Addon/Scalars/Scalar Outputs/PWM.Out.IO67/FREQ</v>
      </c>
    </row>
    <row r="366" spans="1:2" x14ac:dyDescent="0.45">
      <c r="A366" t="str">
        <v>ATE/IO67/PWM_DC</v>
      </c>
      <c r="B366" t="str">
        <v>Targets/Controller/Custom Devices/FPGA Addon/Scalars/Scalar Outputs/PWM.Out.IO67/DC</v>
      </c>
    </row>
    <row r="367" spans="1:2" x14ac:dyDescent="0.45">
      <c r="A367" t="str">
        <v>None</v>
      </c>
      <c r="B367" t="str">
        <v>Targets/Controller/Hardware/SLSC/SLSC Chassis/Modules/Slot 9 (SLSC-12201 DIO)/Bank 0/Port 0/Line 2/Direction</v>
      </c>
    </row>
    <row r="368" spans="1:2" x14ac:dyDescent="0.45">
      <c r="A368" t="str">
        <v>None</v>
      </c>
      <c r="B368" t="str">
        <v>TBD</v>
      </c>
    </row>
    <row r="369" spans="1:2" x14ac:dyDescent="0.45">
      <c r="A369" t="str">
        <v>ATE/IO68/PWM_FR</v>
      </c>
      <c r="B369" t="str">
        <v>Targets/Controller/Custom Devices/FPGA Addon/Scalars/Scalar Outputs/PWM.Out.IO68/FREQ</v>
      </c>
    </row>
    <row r="370" spans="1:2" x14ac:dyDescent="0.45">
      <c r="A370" t="str">
        <v>ATE/IO68/PWM_DC</v>
      </c>
      <c r="B370" t="str">
        <v>Targets/Controller/Custom Devices/FPGA Addon/Scalars/Scalar Outputs/PWM.Out.IO68/DC</v>
      </c>
    </row>
    <row r="371" spans="1:2" x14ac:dyDescent="0.45">
      <c r="A371" t="str">
        <v>None</v>
      </c>
      <c r="B371" t="str">
        <v>Targets/Controller/Hardware/SLSC/SLSC Chassis/Modules/Slot 9 (SLSC-12201 DIO)/Bank 0/Port 0/Line 3/Direction</v>
      </c>
    </row>
    <row r="372" spans="1:2" x14ac:dyDescent="0.45">
      <c r="A372" t="str">
        <v>None</v>
      </c>
      <c r="B372" t="str">
        <v>TBD</v>
      </c>
    </row>
    <row r="373" spans="1:2" x14ac:dyDescent="0.45">
      <c r="A373" t="str">
        <v>ATE/IO69/PWM_FR</v>
      </c>
      <c r="B373" t="str">
        <v>Targets/Controller/Custom Devices/FPGA Addon/Scalars/Scalar Outputs/PWM.Out.IO69/FREQ</v>
      </c>
    </row>
    <row r="374" spans="1:2" x14ac:dyDescent="0.45">
      <c r="A374" t="str">
        <v>ATE/IO69/PWM_DC</v>
      </c>
      <c r="B374" t="str">
        <v>Targets/Controller/Custom Devices/FPGA Addon/Scalars/Scalar Outputs/PWM.Out.IO69/DC</v>
      </c>
    </row>
    <row r="375" spans="1:2" x14ac:dyDescent="0.45">
      <c r="A375" t="str">
        <v>None</v>
      </c>
      <c r="B375" t="str">
        <v>Targets/Controller/Hardware/SLSC/SLSC Chassis/Modules/Slot 9 (SLSC-12201 DIO)/Bank 0/Port 0/Line 4/Direction</v>
      </c>
    </row>
    <row r="376" spans="1:2" x14ac:dyDescent="0.45">
      <c r="A376" t="str">
        <v>None</v>
      </c>
      <c r="B376" t="str">
        <v>TBD</v>
      </c>
    </row>
    <row r="377" spans="1:2" x14ac:dyDescent="0.45">
      <c r="A377" t="str">
        <v>ATE/IO70/PWM_FR</v>
      </c>
      <c r="B377" t="str">
        <v>Targets/Controller/Custom Devices/FPGA Addon/Scalars/Scalar Outputs/PWM.Out.IO70/FREQ</v>
      </c>
    </row>
    <row r="378" spans="1:2" x14ac:dyDescent="0.45">
      <c r="A378" t="str">
        <v>ATE/IO70/PWM_DC</v>
      </c>
      <c r="B378" t="str">
        <v>Targets/Controller/Custom Devices/FPGA Addon/Scalars/Scalar Outputs/PWM.Out.IO70/DC</v>
      </c>
    </row>
    <row r="379" spans="1:2" x14ac:dyDescent="0.45">
      <c r="A379" t="str">
        <v>None</v>
      </c>
      <c r="B379" t="str">
        <v>Targets/Controller/Hardware/SLSC/SLSC Chassis/Modules/Slot 9 (SLSC-12201 DIO)/Bank 0/Port 0/Line 5/Direction</v>
      </c>
    </row>
    <row r="380" spans="1:2" x14ac:dyDescent="0.45">
      <c r="A380" t="str">
        <v>None</v>
      </c>
      <c r="B380" t="str">
        <v>TBD</v>
      </c>
    </row>
    <row r="381" spans="1:2" x14ac:dyDescent="0.45">
      <c r="A381" t="str">
        <v>ATE/IO71/PWM_FR</v>
      </c>
      <c r="B381" t="str">
        <v>Targets/Controller/Custom Devices/FPGA Addon/Scalars/Scalar Outputs/PWM.Out.IO71/FREQ</v>
      </c>
    </row>
    <row r="382" spans="1:2" x14ac:dyDescent="0.45">
      <c r="A382" t="str">
        <v>ATE/IO71/PWM_DC</v>
      </c>
      <c r="B382" t="str">
        <v>Targets/Controller/Custom Devices/FPGA Addon/Scalars/Scalar Outputs/PWM.Out.IO71/DC</v>
      </c>
    </row>
    <row r="383" spans="1:2" x14ac:dyDescent="0.45">
      <c r="A383" t="str">
        <v>None</v>
      </c>
      <c r="B383" t="str">
        <v>Targets/Controller/Hardware/SLSC/SLSC Chassis/Modules/Slot 9 (SLSC-12201 DIO)/Bank 0/Port 0/Line 6/Direction</v>
      </c>
    </row>
    <row r="384" spans="1:2" x14ac:dyDescent="0.45">
      <c r="A384" t="str">
        <v>None</v>
      </c>
      <c r="B384" t="str">
        <v>TBD</v>
      </c>
    </row>
    <row r="385" spans="1:2" x14ac:dyDescent="0.45">
      <c r="A385" t="str">
        <v>ATE/IO72/PWM_FR</v>
      </c>
      <c r="B385" t="str">
        <v>Targets/Controller/Custom Devices/FPGA Addon/Scalars/Scalar Outputs/PWM.Out.IO72/FREQ</v>
      </c>
    </row>
    <row r="386" spans="1:2" x14ac:dyDescent="0.45">
      <c r="A386" t="str">
        <v>ATE/IO72/PWM_DC</v>
      </c>
      <c r="B386" t="str">
        <v>Targets/Controller/Custom Devices/FPGA Addon/Scalars/Scalar Outputs/PWM.Out.IO72/DC</v>
      </c>
    </row>
    <row r="387" spans="1:2" x14ac:dyDescent="0.45">
      <c r="A387" t="str">
        <v>None</v>
      </c>
      <c r="B387" t="str">
        <v>Targets/Controller/Hardware/SLSC/SLSC Chassis/Modules/Slot 9 (SLSC-12201 DIO)/Bank 0/Port 0/Line 7/Direction</v>
      </c>
    </row>
    <row r="388" spans="1:2" x14ac:dyDescent="0.45">
      <c r="A388" t="str">
        <v>None</v>
      </c>
      <c r="B388" t="str">
        <v>TBD</v>
      </c>
    </row>
    <row r="389" spans="1:2" x14ac:dyDescent="0.45">
      <c r="A389" t="str">
        <v>ATE/IO73/PWM_FR</v>
      </c>
      <c r="B389" t="str">
        <v>Targets/Controller/Custom Devices/FPGA Addon/Scalars/Scalar Outputs/PWM.Out.IO73/FREQ</v>
      </c>
    </row>
    <row r="390" spans="1:2" x14ac:dyDescent="0.45">
      <c r="A390" t="str">
        <v>ATE/IO73/PWM_DC</v>
      </c>
      <c r="B390" t="str">
        <v>Targets/Controller/Custom Devices/FPGA Addon/Scalars/Scalar Outputs/PWM.Out.IO73/DC</v>
      </c>
    </row>
    <row r="391" spans="1:2" x14ac:dyDescent="0.45">
      <c r="A391" t="str">
        <v>None</v>
      </c>
      <c r="B391" t="str">
        <v>Targets/Controller/Hardware/SLSC/SLSC Chassis/Modules/Slot 9 (SLSC-12201 DIO)/Bank 0/Port 1/Line 0/Direction</v>
      </c>
    </row>
    <row r="392" spans="1:2" x14ac:dyDescent="0.45">
      <c r="A392" t="str">
        <v>None</v>
      </c>
      <c r="B392" t="str">
        <v>TBD</v>
      </c>
    </row>
    <row r="393" spans="1:2" x14ac:dyDescent="0.45">
      <c r="A393" t="str">
        <v>ATE/IO74/PWM_FR</v>
      </c>
      <c r="B393" t="str">
        <v>Targets/Controller/Custom Devices/FPGA Addon/Scalars/Scalar Outputs/PWM.Out.IO74/FREQ</v>
      </c>
    </row>
    <row r="394" spans="1:2" x14ac:dyDescent="0.45">
      <c r="A394" t="str">
        <v>ATE/IO74/PWM_DC</v>
      </c>
      <c r="B394" t="str">
        <v>Targets/Controller/Custom Devices/FPGA Addon/Scalars/Scalar Outputs/PWM.Out.IO74/DC</v>
      </c>
    </row>
    <row r="395" spans="1:2" x14ac:dyDescent="0.45">
      <c r="A395" t="str">
        <v>None</v>
      </c>
      <c r="B395" t="str">
        <v>Targets/Controller/Hardware/SLSC/SLSC Chassis/Modules/Slot 9 (SLSC-12201 DIO)/Bank 0/Port 1/Line 1/Direction</v>
      </c>
    </row>
    <row r="396" spans="1:2" x14ac:dyDescent="0.45">
      <c r="A396" t="str">
        <v>None</v>
      </c>
      <c r="B396" t="str">
        <v>TBD</v>
      </c>
    </row>
    <row r="397" spans="1:2" x14ac:dyDescent="0.45">
      <c r="A397" t="str">
        <v>ATE/IO75/PWM_FR</v>
      </c>
      <c r="B397" t="str">
        <v>Targets/Controller/Custom Devices/FPGA Addon/Scalars/Scalar Outputs/PWM.Out.IO75/FREQ</v>
      </c>
    </row>
    <row r="398" spans="1:2" x14ac:dyDescent="0.45">
      <c r="A398" t="str">
        <v>ATE/IO75/PWM_DC</v>
      </c>
      <c r="B398" t="str">
        <v>Targets/Controller/Custom Devices/FPGA Addon/Scalars/Scalar Outputs/PWM.Out.IO75/DC</v>
      </c>
    </row>
    <row r="399" spans="1:2" x14ac:dyDescent="0.45">
      <c r="A399" t="str">
        <v>None</v>
      </c>
      <c r="B399" t="str">
        <v>Targets/Controller/Hardware/SLSC/SLSC Chassis/Modules/Slot 9 (SLSC-12201 DIO)/Bank 0/Port 1/Line 2/Direction</v>
      </c>
    </row>
    <row r="400" spans="1:2" x14ac:dyDescent="0.45">
      <c r="A400" t="str">
        <v>None</v>
      </c>
      <c r="B400" t="str">
        <v>TBD</v>
      </c>
    </row>
    <row r="401" spans="1:2" x14ac:dyDescent="0.45">
      <c r="A401" t="str">
        <v>ATE/IO76/PWM_FR</v>
      </c>
      <c r="B401" t="str">
        <v>Targets/Controller/Custom Devices/FPGA Addon/Scalars/Scalar Outputs/PWM.Out.IO76/FREQ</v>
      </c>
    </row>
    <row r="402" spans="1:2" x14ac:dyDescent="0.45">
      <c r="A402" t="str">
        <v>ATE/IO76/PWM_DC</v>
      </c>
      <c r="B402" t="str">
        <v>Targets/Controller/Custom Devices/FPGA Addon/Scalars/Scalar Outputs/PWM.Out.IO76/DC</v>
      </c>
    </row>
    <row r="403" spans="1:2" x14ac:dyDescent="0.45">
      <c r="A403" t="str">
        <v>None</v>
      </c>
      <c r="B403" t="str">
        <v>Targets/Controller/Hardware/SLSC/SLSC Chassis/Modules/Slot 9 (SLSC-12201 DIO)/Bank 0/Port 1/Line 3/Direction</v>
      </c>
    </row>
    <row r="404" spans="1:2" x14ac:dyDescent="0.45">
      <c r="A404" t="str">
        <v>None</v>
      </c>
      <c r="B404" t="str">
        <v>TBD</v>
      </c>
    </row>
    <row r="405" spans="1:2" x14ac:dyDescent="0.45">
      <c r="A405" t="str">
        <v>ATE/IO77/PWM_FR</v>
      </c>
      <c r="B405" t="str">
        <v>Targets/Controller/Custom Devices/FPGA Addon/Scalars/Scalar Outputs/PWM.Out.IO77/FREQ</v>
      </c>
    </row>
    <row r="406" spans="1:2" x14ac:dyDescent="0.45">
      <c r="A406" t="str">
        <v>ATE/IO77/PWM_DC</v>
      </c>
      <c r="B406" t="str">
        <v>Targets/Controller/Custom Devices/FPGA Addon/Scalars/Scalar Outputs/PWM.Out.IO77/DC</v>
      </c>
    </row>
    <row r="407" spans="1:2" x14ac:dyDescent="0.45">
      <c r="A407" t="str">
        <v>None</v>
      </c>
      <c r="B407" t="str">
        <v>Targets/Controller/Hardware/SLSC/SLSC Chassis/Modules/Slot 9 (SLSC-12201 DIO)/Bank 0/Port 1/Line 4/Direction</v>
      </c>
    </row>
    <row r="408" spans="1:2" x14ac:dyDescent="0.45">
      <c r="A408" t="str">
        <v>None</v>
      </c>
      <c r="B408" t="str">
        <v>TBD</v>
      </c>
    </row>
    <row r="409" spans="1:2" x14ac:dyDescent="0.45">
      <c r="A409" t="str">
        <v>ATE/IO78/PWM_FR</v>
      </c>
      <c r="B409" t="str">
        <v>Targets/Controller/Custom Devices/FPGA Addon/Scalars/Scalar Outputs/PWM.Out.IO78/FREQ</v>
      </c>
    </row>
    <row r="410" spans="1:2" x14ac:dyDescent="0.45">
      <c r="A410" t="str">
        <v>ATE/IO78/PWM_DC</v>
      </c>
      <c r="B410" t="str">
        <v>Targets/Controller/Custom Devices/FPGA Addon/Scalars/Scalar Outputs/PWM.Out.IO78/DC</v>
      </c>
    </row>
    <row r="411" spans="1:2" x14ac:dyDescent="0.45">
      <c r="A411" t="str">
        <v>None</v>
      </c>
      <c r="B411" t="str">
        <v>Targets/Controller/Hardware/SLSC/SLSC Chassis/Modules/Slot 9 (SLSC-12201 DIO)/Bank 0/Port 1/Line 5/Direction</v>
      </c>
    </row>
    <row r="412" spans="1:2" x14ac:dyDescent="0.45">
      <c r="A412" t="str">
        <v>None</v>
      </c>
      <c r="B412" t="str">
        <v>TBD</v>
      </c>
    </row>
    <row r="413" spans="1:2" x14ac:dyDescent="0.45">
      <c r="A413" t="str">
        <v>ATE/IO79/PWM_FR</v>
      </c>
      <c r="B413" t="str">
        <v>Targets/Controller/Custom Devices/FPGA Addon/Scalars/Scalar Outputs/PWM.Out.IO79/FREQ</v>
      </c>
    </row>
    <row r="414" spans="1:2" x14ac:dyDescent="0.45">
      <c r="A414" t="str">
        <v>ATE/IO79/PWM_DC</v>
      </c>
      <c r="B414" t="str">
        <v>Targets/Controller/Custom Devices/FPGA Addon/Scalars/Scalar Outputs/PWM.Out.IO79/DC</v>
      </c>
    </row>
    <row r="415" spans="1:2" x14ac:dyDescent="0.45">
      <c r="A415" t="str">
        <v>None</v>
      </c>
      <c r="B415" t="str">
        <v>Targets/Controller/Hardware/SLSC/SLSC Chassis/Modules/Slot 9 (SLSC-12201 DIO)/Bank 0/Port 1/Line 6/Direction</v>
      </c>
    </row>
    <row r="416" spans="1:2" x14ac:dyDescent="0.45">
      <c r="A416" t="str">
        <v>None</v>
      </c>
      <c r="B416" t="str">
        <v>TBD</v>
      </c>
    </row>
    <row r="417" spans="1:2" x14ac:dyDescent="0.45">
      <c r="A417" t="str">
        <v>ATE/IO80/PWM_FR</v>
      </c>
      <c r="B417" t="str">
        <v>Targets/Controller/Custom Devices/FPGA Addon/Scalars/Scalar Outputs/PWM.Out.IO80/FREQ</v>
      </c>
    </row>
    <row r="418" spans="1:2" x14ac:dyDescent="0.45">
      <c r="A418" t="str">
        <v>ATE/IO80/PWM_DC</v>
      </c>
      <c r="B418" t="str">
        <v>Targets/Controller/Custom Devices/FPGA Addon/Scalars/Scalar Outputs/PWM.Out.IO80/DC</v>
      </c>
    </row>
    <row r="419" spans="1:2" x14ac:dyDescent="0.45">
      <c r="A419" t="str">
        <v>None</v>
      </c>
      <c r="B419" t="str">
        <v>Targets/Controller/Hardware/SLSC/SLSC Chassis/Modules/Slot 9 (SLSC-12201 DIO)/Bank 0/Port 1/Line 7/Direction</v>
      </c>
    </row>
    <row r="420" spans="1:2" x14ac:dyDescent="0.45">
      <c r="A420" t="str">
        <v>None</v>
      </c>
      <c r="B420" t="str">
        <v>TBD</v>
      </c>
    </row>
    <row r="421" spans="1:2" x14ac:dyDescent="0.45">
      <c r="A421">
        <v>0</v>
      </c>
      <c r="B421">
        <v>0</v>
      </c>
    </row>
    <row r="422" spans="1:2" x14ac:dyDescent="0.45">
      <c r="A422" t="str">
        <v>ATE/IO81/DI</v>
      </c>
      <c r="B422" t="str">
        <v>Targets/Controller/Custom Devices/FPGA Addon/Scalars/Scalar Inputs/DI.IO81/STATE</v>
      </c>
    </row>
    <row r="423" spans="1:2" x14ac:dyDescent="0.45">
      <c r="A423" t="str">
        <v>None</v>
      </c>
      <c r="B423" t="str">
        <v>Targets/Controller/Hardware/SLSC/SLSC Chassis/Modules/Slot 9 (SLSC-12201 DIO)/Bank 1/Port 2/Line 0/Direction</v>
      </c>
    </row>
    <row r="424" spans="1:2" x14ac:dyDescent="0.45">
      <c r="A424" t="str">
        <v>None</v>
      </c>
      <c r="B424" t="str">
        <v>Targets/Controller/Calculated Channels/ATE/IO81/AI</v>
      </c>
    </row>
    <row r="425" spans="1:2" x14ac:dyDescent="0.45">
      <c r="A425" t="str">
        <v>None</v>
      </c>
      <c r="B425" t="str">
        <v>TBD</v>
      </c>
    </row>
    <row r="426" spans="1:2" x14ac:dyDescent="0.45">
      <c r="A426" t="str">
        <v>ATE/IO82/DI</v>
      </c>
      <c r="B426" t="str">
        <v>Targets/Controller/Custom Devices/FPGA Addon/Scalars/Scalar Inputs/DI.IO82/STATE</v>
      </c>
    </row>
    <row r="427" spans="1:2" x14ac:dyDescent="0.45">
      <c r="A427" t="str">
        <v>None</v>
      </c>
      <c r="B427" t="str">
        <v>Targets/Controller/Hardware/SLSC/SLSC Chassis/Modules/Slot 9 (SLSC-12201 DIO)/Bank 1/Port 2/Line 1/Direction</v>
      </c>
    </row>
    <row r="428" spans="1:2" x14ac:dyDescent="0.45">
      <c r="A428" t="str">
        <v>None</v>
      </c>
      <c r="B428" t="str">
        <v>Targets/Controller/Calculated Channels/ATE/IO82/AI</v>
      </c>
    </row>
    <row r="429" spans="1:2" x14ac:dyDescent="0.45">
      <c r="A429" t="str">
        <v>None</v>
      </c>
      <c r="B429" t="str">
        <v>TBD</v>
      </c>
    </row>
    <row r="430" spans="1:2" x14ac:dyDescent="0.45">
      <c r="A430" t="str">
        <v>ATE/IO83/DI</v>
      </c>
      <c r="B430" t="str">
        <v>Targets/Controller/Custom Devices/FPGA Addon/Scalars/Scalar Inputs/DI.IO83/STATE</v>
      </c>
    </row>
    <row r="431" spans="1:2" x14ac:dyDescent="0.45">
      <c r="A431" t="str">
        <v>None</v>
      </c>
      <c r="B431" t="str">
        <v>Targets/Controller/Hardware/SLSC/SLSC Chassis/Modules/Slot 9 (SLSC-12201 DIO)/Bank 1/Port 2/Line 2/Direction</v>
      </c>
    </row>
    <row r="432" spans="1:2" x14ac:dyDescent="0.45">
      <c r="A432" t="str">
        <v>None</v>
      </c>
      <c r="B432" t="str">
        <v>Targets/Controller/Calculated Channels/ATE/IO83/AI</v>
      </c>
    </row>
    <row r="433" spans="1:2" x14ac:dyDescent="0.45">
      <c r="A433" t="str">
        <v>None</v>
      </c>
      <c r="B433" t="str">
        <v>TBD</v>
      </c>
    </row>
    <row r="434" spans="1:2" x14ac:dyDescent="0.45">
      <c r="A434" t="str">
        <v>ATE/IO84/DI</v>
      </c>
      <c r="B434" t="str">
        <v>Targets/Controller/Custom Devices/FPGA Addon/Scalars/Scalar Inputs/DI.IO84/STATE</v>
      </c>
    </row>
    <row r="435" spans="1:2" x14ac:dyDescent="0.45">
      <c r="A435" t="str">
        <v>None</v>
      </c>
      <c r="B435" t="str">
        <v>Targets/Controller/Hardware/SLSC/SLSC Chassis/Modules/Slot 9 (SLSC-12201 DIO)/Bank 1/Port 2/Line 3/Direction</v>
      </c>
    </row>
    <row r="436" spans="1:2" x14ac:dyDescent="0.45">
      <c r="A436" t="str">
        <v>None</v>
      </c>
      <c r="B436" t="str">
        <v>Targets/Controller/Calculated Channels/ATE/IO84/AI</v>
      </c>
    </row>
    <row r="437" spans="1:2" x14ac:dyDescent="0.45">
      <c r="A437" t="str">
        <v>None</v>
      </c>
      <c r="B437" t="str">
        <v>TBD</v>
      </c>
    </row>
    <row r="438" spans="1:2" x14ac:dyDescent="0.45">
      <c r="A438" t="str">
        <v>ATE/IO85/DI</v>
      </c>
      <c r="B438" t="str">
        <v>Targets/Controller/Custom Devices/FPGA Addon/Scalars/Scalar Inputs/DI.IO85/STATE</v>
      </c>
    </row>
    <row r="439" spans="1:2" x14ac:dyDescent="0.45">
      <c r="A439" t="str">
        <v>None</v>
      </c>
      <c r="B439" t="str">
        <v>Targets/Controller/Hardware/SLSC/SLSC Chassis/Modules/Slot 9 (SLSC-12201 DIO)/Bank 1/Port 2/Line 4/Direction</v>
      </c>
    </row>
    <row r="440" spans="1:2" x14ac:dyDescent="0.45">
      <c r="A440" t="str">
        <v>None</v>
      </c>
      <c r="B440" t="str">
        <v>Targets/Controller/Calculated Channels/ATE/IO85/AI</v>
      </c>
    </row>
    <row r="441" spans="1:2" x14ac:dyDescent="0.45">
      <c r="A441" t="str">
        <v>None</v>
      </c>
      <c r="B441" t="str">
        <v>TBD</v>
      </c>
    </row>
    <row r="442" spans="1:2" x14ac:dyDescent="0.45">
      <c r="A442" t="str">
        <v>ATE/IO86/DI</v>
      </c>
      <c r="B442" t="str">
        <v>Targets/Controller/Custom Devices/FPGA Addon/Scalars/Scalar Inputs/DI.IO86/STATE</v>
      </c>
    </row>
    <row r="443" spans="1:2" x14ac:dyDescent="0.45">
      <c r="A443" t="str">
        <v>None</v>
      </c>
      <c r="B443" t="str">
        <v>Targets/Controller/Hardware/SLSC/SLSC Chassis/Modules/Slot 9 (SLSC-12201 DIO)/Bank 1/Port 2/Line 5/Direction</v>
      </c>
    </row>
    <row r="444" spans="1:2" x14ac:dyDescent="0.45">
      <c r="A444" t="str">
        <v>None</v>
      </c>
      <c r="B444" t="str">
        <v>Targets/Controller/Calculated Channels/ATE/IO86/AI</v>
      </c>
    </row>
    <row r="445" spans="1:2" x14ac:dyDescent="0.45">
      <c r="A445" t="str">
        <v>None</v>
      </c>
      <c r="B445" t="str">
        <v>TBD</v>
      </c>
    </row>
    <row r="446" spans="1:2" x14ac:dyDescent="0.45">
      <c r="A446" t="str">
        <v>ATE/IO87/DI</v>
      </c>
      <c r="B446" t="str">
        <v>Targets/Controller/Custom Devices/FPGA Addon/Scalars/Scalar Inputs/DI.IO87/STATE</v>
      </c>
    </row>
    <row r="447" spans="1:2" x14ac:dyDescent="0.45">
      <c r="A447" t="str">
        <v>None</v>
      </c>
      <c r="B447" t="str">
        <v>Targets/Controller/Hardware/SLSC/SLSC Chassis/Modules/Slot 9 (SLSC-12201 DIO)/Bank 1/Port 2/Line 6/Direction</v>
      </c>
    </row>
    <row r="448" spans="1:2" x14ac:dyDescent="0.45">
      <c r="A448" t="str">
        <v>None</v>
      </c>
      <c r="B448" t="str">
        <v>Targets/Controller/Calculated Channels/ATE/IO87/AI</v>
      </c>
    </row>
    <row r="449" spans="1:2" x14ac:dyDescent="0.45">
      <c r="A449" t="str">
        <v>None</v>
      </c>
      <c r="B449" t="str">
        <v>TBD</v>
      </c>
    </row>
    <row r="450" spans="1:2" x14ac:dyDescent="0.45">
      <c r="A450" t="str">
        <v>ATE/IO88/DI</v>
      </c>
      <c r="B450" t="str">
        <v>Targets/Controller/Custom Devices/FPGA Addon/Scalars/Scalar Inputs/DI.IO88/STATE</v>
      </c>
    </row>
    <row r="451" spans="1:2" x14ac:dyDescent="0.45">
      <c r="A451" t="str">
        <v>None</v>
      </c>
      <c r="B451" t="str">
        <v>Targets/Controller/Hardware/SLSC/SLSC Chassis/Modules/Slot 9 (SLSC-12201 DIO)/Bank 1/Port 2/Line 7/Direction</v>
      </c>
    </row>
    <row r="452" spans="1:2" x14ac:dyDescent="0.45">
      <c r="A452" t="str">
        <v>None</v>
      </c>
      <c r="B452" t="str">
        <v>Targets/Controller/Calculated Channels/ATE/IO88/AI</v>
      </c>
    </row>
    <row r="453" spans="1:2" x14ac:dyDescent="0.45">
      <c r="A453" t="str">
        <v>None</v>
      </c>
      <c r="B453" t="str">
        <v>TBD</v>
      </c>
    </row>
    <row r="454" spans="1:2" x14ac:dyDescent="0.45">
      <c r="A454" t="str">
        <v>ATE/IO89/DI</v>
      </c>
      <c r="B454" t="str">
        <v>Targets/Controller/Custom Devices/FPGA Addon/Scalars/Scalar Inputs/DI.IO89/STATE</v>
      </c>
    </row>
    <row r="455" spans="1:2" x14ac:dyDescent="0.45">
      <c r="A455" t="str">
        <v>None</v>
      </c>
      <c r="B455" t="str">
        <v>Targets/Controller/Hardware/SLSC/SLSC Chassis/Modules/Slot 9 (SLSC-12201 DIO)/Bank 1/Port 3/Line 0/Direction</v>
      </c>
    </row>
    <row r="456" spans="1:2" x14ac:dyDescent="0.45">
      <c r="A456" t="str">
        <v>None</v>
      </c>
      <c r="B456" t="str">
        <v>Targets/Controller/Calculated Channels/ATE/IO89/AI</v>
      </c>
    </row>
    <row r="457" spans="1:2" x14ac:dyDescent="0.45">
      <c r="A457" t="str">
        <v>None</v>
      </c>
      <c r="B457" t="str">
        <v>TBD</v>
      </c>
    </row>
    <row r="458" spans="1:2" x14ac:dyDescent="0.45">
      <c r="A458" t="str">
        <v>ATE/IO90/DI</v>
      </c>
      <c r="B458" t="str">
        <v>Targets/Controller/Custom Devices/FPGA Addon/Scalars/Scalar Inputs/DI.IO90/STATE</v>
      </c>
    </row>
    <row r="459" spans="1:2" x14ac:dyDescent="0.45">
      <c r="A459" t="str">
        <v>None</v>
      </c>
      <c r="B459" t="str">
        <v>Targets/Controller/Hardware/SLSC/SLSC Chassis/Modules/Slot 9 (SLSC-12201 DIO)/Bank 1/Port 3/Line 1/Direction</v>
      </c>
    </row>
    <row r="460" spans="1:2" x14ac:dyDescent="0.45">
      <c r="A460" t="str">
        <v>None</v>
      </c>
      <c r="B460" t="str">
        <v>Targets/Controller/Calculated Channels/ATE/IO90/AI</v>
      </c>
    </row>
    <row r="461" spans="1:2" x14ac:dyDescent="0.45">
      <c r="A461" t="str">
        <v>None</v>
      </c>
      <c r="B461" t="str">
        <v>TBD</v>
      </c>
    </row>
    <row r="462" spans="1:2" x14ac:dyDescent="0.45">
      <c r="A462" t="str">
        <v>ATE/IO91/DI</v>
      </c>
      <c r="B462" t="str">
        <v>Targets/Controller/Custom Devices/FPGA Addon/Scalars/Scalar Inputs/DI.IO91/STATE</v>
      </c>
    </row>
    <row r="463" spans="1:2" x14ac:dyDescent="0.45">
      <c r="A463" t="str">
        <v>None</v>
      </c>
      <c r="B463" t="str">
        <v>Targets/Controller/Hardware/SLSC/SLSC Chassis/Modules/Slot 9 (SLSC-12201 DIO)/Bank 1/Port 3/Line 2/Direction</v>
      </c>
    </row>
    <row r="464" spans="1:2" x14ac:dyDescent="0.45">
      <c r="A464" t="str">
        <v>None</v>
      </c>
      <c r="B464" t="str">
        <v>Targets/Controller/Calculated Channels/ATE/IO91/AI</v>
      </c>
    </row>
    <row r="465" spans="1:2" x14ac:dyDescent="0.45">
      <c r="A465" t="str">
        <v>None</v>
      </c>
      <c r="B465" t="str">
        <v>TBD</v>
      </c>
    </row>
    <row r="466" spans="1:2" x14ac:dyDescent="0.45">
      <c r="A466" t="str">
        <v>ATE/IO92/DI</v>
      </c>
      <c r="B466" t="str">
        <v>Targets/Controller/Custom Devices/FPGA Addon/Scalars/Scalar Inputs/DI.IO92/STATE</v>
      </c>
    </row>
    <row r="467" spans="1:2" x14ac:dyDescent="0.45">
      <c r="A467" t="str">
        <v>None</v>
      </c>
      <c r="B467" t="str">
        <v>Targets/Controller/Hardware/SLSC/SLSC Chassis/Modules/Slot 9 (SLSC-12201 DIO)/Bank 1/Port 3/Line 3/Direction</v>
      </c>
    </row>
    <row r="468" spans="1:2" x14ac:dyDescent="0.45">
      <c r="A468" t="str">
        <v>None</v>
      </c>
      <c r="B468" t="str">
        <v>Targets/Controller/Calculated Channels/ATE/IO92/AI</v>
      </c>
    </row>
    <row r="469" spans="1:2" x14ac:dyDescent="0.45">
      <c r="A469" t="str">
        <v>None</v>
      </c>
      <c r="B469" t="str">
        <v>TBD</v>
      </c>
    </row>
    <row r="470" spans="1:2" x14ac:dyDescent="0.45">
      <c r="A470" t="str">
        <v>ATE/IO93/DI</v>
      </c>
      <c r="B470" t="str">
        <v>Targets/Controller/Custom Devices/FPGA Addon/Scalars/Scalar Inputs/DI.IO93/STATE</v>
      </c>
    </row>
    <row r="471" spans="1:2" x14ac:dyDescent="0.45">
      <c r="A471" t="str">
        <v>None</v>
      </c>
      <c r="B471" t="str">
        <v>Targets/Controller/Hardware/SLSC/SLSC Chassis/Modules/Slot 9 (SLSC-12201 DIO)/Bank 1/Port 3/Line 4/Direction</v>
      </c>
    </row>
    <row r="472" spans="1:2" x14ac:dyDescent="0.45">
      <c r="A472" t="str">
        <v>None</v>
      </c>
      <c r="B472" t="str">
        <v>Targets/Controller/Calculated Channels/ATE/IO93/AI</v>
      </c>
    </row>
    <row r="473" spans="1:2" x14ac:dyDescent="0.45">
      <c r="A473" t="str">
        <v>None</v>
      </c>
      <c r="B473" t="str">
        <v>TBD</v>
      </c>
    </row>
    <row r="474" spans="1:2" x14ac:dyDescent="0.45">
      <c r="A474" t="str">
        <v>ATE/IO94/DI</v>
      </c>
      <c r="B474" t="str">
        <v>Targets/Controller/Custom Devices/FPGA Addon/Scalars/Scalar Inputs/DI.IO94/STATE</v>
      </c>
    </row>
    <row r="475" spans="1:2" x14ac:dyDescent="0.45">
      <c r="A475" t="str">
        <v>None</v>
      </c>
      <c r="B475" t="str">
        <v>Targets/Controller/Hardware/SLSC/SLSC Chassis/Modules/Slot 9 (SLSC-12201 DIO)/Bank 1/Port 3/Line 5/Direction</v>
      </c>
    </row>
    <row r="476" spans="1:2" x14ac:dyDescent="0.45">
      <c r="A476" t="str">
        <v>None</v>
      </c>
      <c r="B476" t="str">
        <v>Targets/Controller/Calculated Channels/ATE/IO94/AI</v>
      </c>
    </row>
    <row r="477" spans="1:2" x14ac:dyDescent="0.45">
      <c r="A477" t="str">
        <v>None</v>
      </c>
      <c r="B477" t="str">
        <v>TBD</v>
      </c>
    </row>
    <row r="478" spans="1:2" x14ac:dyDescent="0.45">
      <c r="A478" t="str">
        <v>ATE/IO95/DI</v>
      </c>
      <c r="B478" t="str">
        <v>Targets/Controller/Custom Devices/FPGA Addon/Scalars/Scalar Inputs/DI.IO95/STATE</v>
      </c>
    </row>
    <row r="479" spans="1:2" x14ac:dyDescent="0.45">
      <c r="A479" t="str">
        <v>None</v>
      </c>
      <c r="B479" t="str">
        <v>Targets/Controller/Hardware/SLSC/SLSC Chassis/Modules/Slot 9 (SLSC-12201 DIO)/Bank 1/Port 3/Line 6/Direction</v>
      </c>
    </row>
    <row r="480" spans="1:2" x14ac:dyDescent="0.45">
      <c r="A480" t="str">
        <v>None</v>
      </c>
      <c r="B480" t="str">
        <v>Targets/Controller/Calculated Channels/ATE/IO95/AI</v>
      </c>
    </row>
    <row r="481" spans="1:2" x14ac:dyDescent="0.45">
      <c r="A481" t="str">
        <v>None</v>
      </c>
      <c r="B481" t="str">
        <v>TBD</v>
      </c>
    </row>
    <row r="482" spans="1:2" x14ac:dyDescent="0.45">
      <c r="A482" t="str">
        <v>ATE/IO96/DI</v>
      </c>
      <c r="B482" t="str">
        <v>Targets/Controller/Custom Devices/FPGA Addon/Scalars/Scalar Inputs/DI.IO96/STATE</v>
      </c>
    </row>
    <row r="483" spans="1:2" x14ac:dyDescent="0.45">
      <c r="A483" t="str">
        <v>None</v>
      </c>
      <c r="B483" t="str">
        <v>Targets/Controller/Hardware/SLSC/SLSC Chassis/Modules/Slot 9 (SLSC-12201 DIO)/Bank 1/Port 3/Line 7/Direction</v>
      </c>
    </row>
    <row r="484" spans="1:2" x14ac:dyDescent="0.45">
      <c r="A484" t="str">
        <v>None</v>
      </c>
      <c r="B484" t="str">
        <v>Targets/Controller/Calculated Channels/ATE/IO96/AI</v>
      </c>
    </row>
    <row r="485" spans="1:2" x14ac:dyDescent="0.45">
      <c r="A485" t="str">
        <v>None</v>
      </c>
      <c r="B485" t="str">
        <v>TBD</v>
      </c>
    </row>
    <row r="486" spans="1:2" x14ac:dyDescent="0.45">
      <c r="A486">
        <v>0</v>
      </c>
      <c r="B486">
        <v>0</v>
      </c>
    </row>
    <row r="487" spans="1:2" x14ac:dyDescent="0.45">
      <c r="A487" t="str">
        <v>ATE/IO97/PWM_FR</v>
      </c>
      <c r="B487" t="str">
        <v>Targets/Controller/Custom Devices/FPGA Addon/Scalars/Scalar Inputs/PWM.In.IO97/FREQ</v>
      </c>
    </row>
    <row r="488" spans="1:2" x14ac:dyDescent="0.45">
      <c r="A488" t="str">
        <v>ATE/IO97/PWM_DC</v>
      </c>
      <c r="B488" t="str">
        <v>Targets/Controller/Custom Devices/FPGA Addon/Scalars/Scalar Inputs/PWM.In.IO97/DC</v>
      </c>
    </row>
    <row r="489" spans="1:2" x14ac:dyDescent="0.45">
      <c r="A489" t="str">
        <v>ATE/IO97/DI</v>
      </c>
      <c r="B489" t="str">
        <v>Targets/Controller/Custom Devices/FPGA Addon/Scalars/Scalar Inputs/DI.IO97/STATE</v>
      </c>
    </row>
    <row r="490" spans="1:2" x14ac:dyDescent="0.45">
      <c r="A490" t="str">
        <v>ATE/IO97/PWM_TIMEOUT</v>
      </c>
      <c r="B490" t="str">
        <v>Targets/Controller/Custom Devices/FPGA Addon/Scalars/Scalar Outputs/PWM.Set.IO97/TIMEOUT</v>
      </c>
    </row>
    <row r="491" spans="1:2" x14ac:dyDescent="0.45">
      <c r="A491" t="str">
        <v>None</v>
      </c>
      <c r="B491" t="str">
        <v>Targets/Controller/Hardware/SLSC/SLSC Chassis/Modules/Slot 6 (SLSC EDS)/Physical Channels/port0//line0/Properties/NI.Line.Direction</v>
      </c>
    </row>
    <row r="492" spans="1:2" x14ac:dyDescent="0.45">
      <c r="A492" t="str">
        <v>None</v>
      </c>
      <c r="B492" t="str">
        <v>Targets/Controller/Calculated Channels/ATE/IO97/AI</v>
      </c>
    </row>
    <row r="493" spans="1:2" x14ac:dyDescent="0.45">
      <c r="A493" t="str">
        <v>None</v>
      </c>
      <c r="B493" t="str">
        <v>Targets/Controller/Hardware/SLSC/SLSC Chassis/Modules/Slot 1 (SLSC EDS :: SLSC-12251)/Physical Channels/Channel_0</v>
      </c>
    </row>
    <row r="494" spans="1:2" x14ac:dyDescent="0.45">
      <c r="A494" t="str">
        <v>ATE/IO98/PWM_FR</v>
      </c>
      <c r="B494" t="str">
        <v>Targets/Controller/Custom Devices/FPGA Addon/Scalars/Scalar Inputs/PWM.In.IO98/FREQ</v>
      </c>
    </row>
    <row r="495" spans="1:2" x14ac:dyDescent="0.45">
      <c r="A495" t="str">
        <v>ATE/IO98/PWM_DC</v>
      </c>
      <c r="B495" t="str">
        <v>Targets/Controller/Custom Devices/FPGA Addon/Scalars/Scalar Inputs/PWM.In.IO98/DC</v>
      </c>
    </row>
    <row r="496" spans="1:2" x14ac:dyDescent="0.45">
      <c r="A496" t="str">
        <v>ATE/IO98/DI</v>
      </c>
      <c r="B496" t="str">
        <v>Targets/Controller/Custom Devices/FPGA Addon/Scalars/Scalar Inputs/DI.IO98/STATE</v>
      </c>
    </row>
    <row r="497" spans="1:2" x14ac:dyDescent="0.45">
      <c r="A497" t="str">
        <v>ATE/IO98/PWM_TIMEOUT</v>
      </c>
      <c r="B497" t="str">
        <v>Targets/Controller/Custom Devices/FPGA Addon/Scalars/Scalar Outputs/PWM.Set.IO98/TIMEOUT</v>
      </c>
    </row>
    <row r="498" spans="1:2" x14ac:dyDescent="0.45">
      <c r="A498" t="str">
        <v>None</v>
      </c>
      <c r="B498" t="str">
        <v>Targets/Controller/Hardware/SLSC/SLSC Chassis/Modules/Slot 6 (SLSC EDS)/Physical Channels/port0//line1/Properties/NI.Line.Direction</v>
      </c>
    </row>
    <row r="499" spans="1:2" x14ac:dyDescent="0.45">
      <c r="A499" t="str">
        <v>None</v>
      </c>
      <c r="B499" t="str">
        <v>Targets/Controller/Calculated Channels/ATE/IO98/AI</v>
      </c>
    </row>
    <row r="500" spans="1:2" x14ac:dyDescent="0.45">
      <c r="A500" t="str">
        <v>None</v>
      </c>
      <c r="B500" t="str">
        <v>Targets/Controller/Hardware/SLSC/SLSC Chassis/Modules/Slot 1 (SLSC EDS :: SLSC-12251)/Physical Channels/Channel_1</v>
      </c>
    </row>
    <row r="501" spans="1:2" x14ac:dyDescent="0.45">
      <c r="A501" t="str">
        <v>ATE/IO99/PWM_FR</v>
      </c>
      <c r="B501" t="str">
        <v>Targets/Controller/Custom Devices/FPGA Addon/Scalars/Scalar Inputs/PWM.In.IO99/FREQ</v>
      </c>
    </row>
    <row r="502" spans="1:2" x14ac:dyDescent="0.45">
      <c r="A502" t="str">
        <v>ATE/IO99/PWM_DC</v>
      </c>
      <c r="B502" t="str">
        <v>Targets/Controller/Custom Devices/FPGA Addon/Scalars/Scalar Inputs/PWM.In.IO99/DC</v>
      </c>
    </row>
    <row r="503" spans="1:2" x14ac:dyDescent="0.45">
      <c r="A503" t="str">
        <v>ATE/IO99/DI</v>
      </c>
      <c r="B503" t="str">
        <v>Targets/Controller/Custom Devices/FPGA Addon/Scalars/Scalar Inputs/DI.IO99/STATE</v>
      </c>
    </row>
    <row r="504" spans="1:2" x14ac:dyDescent="0.45">
      <c r="A504" t="str">
        <v>ATE/IO99/PWM_TIMEOUT</v>
      </c>
      <c r="B504" t="str">
        <v>Targets/Controller/Custom Devices/FPGA Addon/Scalars/Scalar Outputs/PWM.Set.IO99/TIMEOUT</v>
      </c>
    </row>
    <row r="505" spans="1:2" x14ac:dyDescent="0.45">
      <c r="A505" t="str">
        <v>None</v>
      </c>
      <c r="B505" t="str">
        <v>Targets/Controller/Hardware/SLSC/SLSC Chassis/Modules/Slot 6 (SLSC EDS)/Physical Channels/port0//line2/Properties/NI.Line.Direction</v>
      </c>
    </row>
    <row r="506" spans="1:2" x14ac:dyDescent="0.45">
      <c r="A506" t="str">
        <v>None</v>
      </c>
      <c r="B506" t="str">
        <v>Targets/Controller/Calculated Channels/ATE/IO99/AI</v>
      </c>
    </row>
    <row r="507" spans="1:2" x14ac:dyDescent="0.45">
      <c r="A507" t="str">
        <v>None</v>
      </c>
      <c r="B507" t="str">
        <v>Targets/Controller/Hardware/SLSC/SLSC Chassis/Modules/Slot 1 (SLSC EDS :: SLSC-12251)/Physical Channels/Channel_2</v>
      </c>
    </row>
    <row r="508" spans="1:2" x14ac:dyDescent="0.45">
      <c r="A508" t="str">
        <v>ATE/IO100/PWM_FR</v>
      </c>
      <c r="B508" t="str">
        <v>Targets/Controller/Custom Devices/FPGA Addon/Scalars/Scalar Inputs/PWM.In.IO100/FREQ</v>
      </c>
    </row>
    <row r="509" spans="1:2" x14ac:dyDescent="0.45">
      <c r="A509" t="str">
        <v>ATE/IO100/PWM_DC</v>
      </c>
      <c r="B509" t="str">
        <v>Targets/Controller/Custom Devices/FPGA Addon/Scalars/Scalar Inputs/PWM.In.IO100/DC</v>
      </c>
    </row>
    <row r="510" spans="1:2" x14ac:dyDescent="0.45">
      <c r="A510" t="str">
        <v>ATE/IO100/DI</v>
      </c>
      <c r="B510" t="str">
        <v>Targets/Controller/Custom Devices/FPGA Addon/Scalars/Scalar Inputs/DI.IO100/STATE</v>
      </c>
    </row>
    <row r="511" spans="1:2" x14ac:dyDescent="0.45">
      <c r="A511" t="str">
        <v>ATE/IO100/PWM_TIMEOUT</v>
      </c>
      <c r="B511" t="str">
        <v>Targets/Controller/Custom Devices/FPGA Addon/Scalars/Scalar Outputs/PWM.Set.IO100/TIMEOUT</v>
      </c>
    </row>
    <row r="512" spans="1:2" x14ac:dyDescent="0.45">
      <c r="A512" t="str">
        <v>None</v>
      </c>
      <c r="B512" t="str">
        <v>Targets/Controller/Hardware/SLSC/SLSC Chassis/Modules/Slot 6 (SLSC EDS)/Physical Channels/port0//line3/Properties/NI.Line.Direction</v>
      </c>
    </row>
    <row r="513" spans="1:2" x14ac:dyDescent="0.45">
      <c r="A513" t="str">
        <v>None</v>
      </c>
      <c r="B513" t="str">
        <v>Targets/Controller/Calculated Channels/ATE/IO100/AI</v>
      </c>
    </row>
    <row r="514" spans="1:2" x14ac:dyDescent="0.45">
      <c r="A514" t="str">
        <v>None</v>
      </c>
      <c r="B514" t="str">
        <v>Targets/Controller/Hardware/SLSC/SLSC Chassis/Modules/Slot 1 (SLSC EDS :: SLSC-12251)/Physical Channels/Channel_3</v>
      </c>
    </row>
    <row r="515" spans="1:2" x14ac:dyDescent="0.45">
      <c r="A515" t="str">
        <v>ATE/IO101/PWM_FR</v>
      </c>
      <c r="B515" t="str">
        <v>Targets/Controller/Custom Devices/FPGA Addon/Scalars/Scalar Inputs/PWM.In.IO101/FREQ</v>
      </c>
    </row>
    <row r="516" spans="1:2" x14ac:dyDescent="0.45">
      <c r="A516" t="str">
        <v>ATE/IO101/PWM_DC</v>
      </c>
      <c r="B516" t="str">
        <v>Targets/Controller/Custom Devices/FPGA Addon/Scalars/Scalar Inputs/PWM.In.IO101/DC</v>
      </c>
    </row>
    <row r="517" spans="1:2" x14ac:dyDescent="0.45">
      <c r="A517" t="str">
        <v>ATE/IO101/DI</v>
      </c>
      <c r="B517" t="str">
        <v>Targets/Controller/Custom Devices/FPGA Addon/Scalars/Scalar Inputs/DI.IO101/STATE</v>
      </c>
    </row>
    <row r="518" spans="1:2" x14ac:dyDescent="0.45">
      <c r="A518" t="str">
        <v>ATE/IO101/PWM_TIMEOUT</v>
      </c>
      <c r="B518" t="str">
        <v>Targets/Controller/Custom Devices/FPGA Addon/Scalars/Scalar Outputs/PWM.Set.IO101/TIMEOUT</v>
      </c>
    </row>
    <row r="519" spans="1:2" x14ac:dyDescent="0.45">
      <c r="A519" t="str">
        <v>None</v>
      </c>
      <c r="B519" t="str">
        <v>Targets/Controller/Hardware/SLSC/SLSC Chassis/Modules/Slot 6 (SLSC EDS)/Physical Channels/port0//line4/Properties/NI.Line.Direction</v>
      </c>
    </row>
    <row r="520" spans="1:2" x14ac:dyDescent="0.45">
      <c r="A520" t="str">
        <v>None</v>
      </c>
      <c r="B520" t="str">
        <v>Targets/Controller/Calculated Channels/ATE/IO101/AI</v>
      </c>
    </row>
    <row r="521" spans="1:2" x14ac:dyDescent="0.45">
      <c r="A521" t="str">
        <v>None</v>
      </c>
      <c r="B521" t="str">
        <v>Targets/Controller/Hardware/SLSC/SLSC Chassis/Modules/Slot 1 (SLSC EDS :: SLSC-12251)/Physical Channels/Channel_4</v>
      </c>
    </row>
    <row r="522" spans="1:2" x14ac:dyDescent="0.45">
      <c r="A522" t="str">
        <v>ATE/IO102/PWM_FR</v>
      </c>
      <c r="B522" t="str">
        <v>Targets/Controller/Custom Devices/FPGA Addon/Scalars/Scalar Inputs/PWM.In.IO102/FREQ</v>
      </c>
    </row>
    <row r="523" spans="1:2" x14ac:dyDescent="0.45">
      <c r="A523" t="str">
        <v>ATE/IO102/PWM_DC</v>
      </c>
      <c r="B523" t="str">
        <v>Targets/Controller/Custom Devices/FPGA Addon/Scalars/Scalar Inputs/PWM.In.IO102/DC</v>
      </c>
    </row>
    <row r="524" spans="1:2" x14ac:dyDescent="0.45">
      <c r="A524" t="str">
        <v>ATE/IO102/DI</v>
      </c>
      <c r="B524" t="str">
        <v>Targets/Controller/Custom Devices/FPGA Addon/Scalars/Scalar Inputs/DI.IO102/STATE</v>
      </c>
    </row>
    <row r="525" spans="1:2" x14ac:dyDescent="0.45">
      <c r="A525" t="str">
        <v>ATE/IO102/PWM_TIMEOUT</v>
      </c>
      <c r="B525" t="str">
        <v>Targets/Controller/Custom Devices/FPGA Addon/Scalars/Scalar Outputs/PWM.Set.IO102/TIMEOUT</v>
      </c>
    </row>
    <row r="526" spans="1:2" x14ac:dyDescent="0.45">
      <c r="A526" t="str">
        <v>None</v>
      </c>
      <c r="B526" t="str">
        <v>Targets/Controller/Hardware/SLSC/SLSC Chassis/Modules/Slot 6 (SLSC EDS)/Physical Channels/port0//line5/Properties/NI.Line.Direction</v>
      </c>
    </row>
    <row r="527" spans="1:2" x14ac:dyDescent="0.45">
      <c r="A527" t="str">
        <v>None</v>
      </c>
      <c r="B527" t="str">
        <v>Targets/Controller/Calculated Channels/ATE/IO102/AI</v>
      </c>
    </row>
    <row r="528" spans="1:2" x14ac:dyDescent="0.45">
      <c r="A528" t="str">
        <v>None</v>
      </c>
      <c r="B528" t="str">
        <v>Targets/Controller/Hardware/SLSC/SLSC Chassis/Modules/Slot 1 (SLSC EDS :: SLSC-12251)/Physical Channels/Channel_5</v>
      </c>
    </row>
    <row r="529" spans="1:2" x14ac:dyDescent="0.45">
      <c r="A529" t="str">
        <v>ATE/IO103/PWM_FR</v>
      </c>
      <c r="B529" t="str">
        <v>Targets/Controller/Custom Devices/FPGA Addon/Scalars/Scalar Inputs/PWM.In.IO103/FREQ</v>
      </c>
    </row>
    <row r="530" spans="1:2" x14ac:dyDescent="0.45">
      <c r="A530" t="str">
        <v>ATE/IO103/PWM_DC</v>
      </c>
      <c r="B530" t="str">
        <v>Targets/Controller/Custom Devices/FPGA Addon/Scalars/Scalar Inputs/PWM.In.IO103/DC</v>
      </c>
    </row>
    <row r="531" spans="1:2" x14ac:dyDescent="0.45">
      <c r="A531" t="str">
        <v>ATE/IO103/DI</v>
      </c>
      <c r="B531" t="str">
        <v>Targets/Controller/Custom Devices/FPGA Addon/Scalars/Scalar Inputs/DI.IO103/STATE</v>
      </c>
    </row>
    <row r="532" spans="1:2" x14ac:dyDescent="0.45">
      <c r="A532" t="str">
        <v>ATE/IO103/PWM_TIMEOUT</v>
      </c>
      <c r="B532" t="str">
        <v>Targets/Controller/Custom Devices/FPGA Addon/Scalars/Scalar Outputs/PWM.Set.IO103/TIMEOUT</v>
      </c>
    </row>
    <row r="533" spans="1:2" x14ac:dyDescent="0.45">
      <c r="A533" t="str">
        <v>None</v>
      </c>
      <c r="B533" t="str">
        <v>Targets/Controller/Hardware/SLSC/SLSC Chassis/Modules/Slot 6 (SLSC EDS)/Physical Channels/port0//line6/Properties/NI.Line.Direction</v>
      </c>
    </row>
    <row r="534" spans="1:2" x14ac:dyDescent="0.45">
      <c r="A534" t="str">
        <v>None</v>
      </c>
      <c r="B534" t="str">
        <v>Targets/Controller/Calculated Channels/ATE/IO103/AI</v>
      </c>
    </row>
    <row r="535" spans="1:2" x14ac:dyDescent="0.45">
      <c r="A535" t="str">
        <v>None</v>
      </c>
      <c r="B535" t="str">
        <v>Targets/Controller/Hardware/SLSC/SLSC Chassis/Modules/Slot 1 (SLSC EDS :: SLSC-12251)/Physical Channels/Channel_6</v>
      </c>
    </row>
    <row r="536" spans="1:2" x14ac:dyDescent="0.45">
      <c r="A536" t="str">
        <v>ATE/IO104/PWM_FR</v>
      </c>
      <c r="B536" t="str">
        <v>Targets/Controller/Custom Devices/FPGA Addon/Scalars/Scalar Inputs/PWM.In.IO104/FREQ</v>
      </c>
    </row>
    <row r="537" spans="1:2" x14ac:dyDescent="0.45">
      <c r="A537" t="str">
        <v>ATE/IO104/PWM_DC</v>
      </c>
      <c r="B537" t="str">
        <v>Targets/Controller/Custom Devices/FPGA Addon/Scalars/Scalar Inputs/PWM.In.IO104/DC</v>
      </c>
    </row>
    <row r="538" spans="1:2" x14ac:dyDescent="0.45">
      <c r="A538" t="str">
        <v>ATE/IO104/DI</v>
      </c>
      <c r="B538" t="str">
        <v>Targets/Controller/Custom Devices/FPGA Addon/Scalars/Scalar Inputs/DI.IO104/STATE</v>
      </c>
    </row>
    <row r="539" spans="1:2" x14ac:dyDescent="0.45">
      <c r="A539" t="str">
        <v>ATE/IO104/PWM_TIMEOUT</v>
      </c>
      <c r="B539" t="str">
        <v>Targets/Controller/Custom Devices/FPGA Addon/Scalars/Scalar Outputs/PWM.Set.IO104/TIMEOUT</v>
      </c>
    </row>
    <row r="540" spans="1:2" x14ac:dyDescent="0.45">
      <c r="A540" t="str">
        <v>None</v>
      </c>
      <c r="B540" t="str">
        <v>Targets/Controller/Hardware/SLSC/SLSC Chassis/Modules/Slot 6 (SLSC EDS)/Physical Channels/port0//line7/Properties/NI.Line.Direction</v>
      </c>
    </row>
    <row r="541" spans="1:2" x14ac:dyDescent="0.45">
      <c r="A541" t="str">
        <v>None</v>
      </c>
      <c r="B541" t="str">
        <v>Targets/Controller/Calculated Channels/ATE/IO104/AI</v>
      </c>
    </row>
    <row r="542" spans="1:2" x14ac:dyDescent="0.45">
      <c r="A542" t="str">
        <v>None</v>
      </c>
      <c r="B542" t="str">
        <v>Targets/Controller/Hardware/SLSC/SLSC Chassis/Modules/Slot 1 (SLSC EDS :: SLSC-12251)/Physical Channels/Channel_7</v>
      </c>
    </row>
    <row r="543" spans="1:2" x14ac:dyDescent="0.45">
      <c r="A543" t="str">
        <v>ATE/IO105/PWM_FR</v>
      </c>
      <c r="B543" t="str">
        <v>Targets/Controller/Custom Devices/FPGA Addon/Scalars/Scalar Inputs/PWM.In.IO105/FREQ</v>
      </c>
    </row>
    <row r="544" spans="1:2" x14ac:dyDescent="0.45">
      <c r="A544" t="str">
        <v>ATE/IO105/PWM_DC</v>
      </c>
      <c r="B544" t="str">
        <v>Targets/Controller/Custom Devices/FPGA Addon/Scalars/Scalar Inputs/PWM.In.IO105/DC</v>
      </c>
    </row>
    <row r="545" spans="1:2" x14ac:dyDescent="0.45">
      <c r="A545" t="str">
        <v>ATE/IO105/DI</v>
      </c>
      <c r="B545" t="str">
        <v>Targets/Controller/Custom Devices/FPGA Addon/Scalars/Scalar Inputs/DI.IO105/STATE</v>
      </c>
    </row>
    <row r="546" spans="1:2" x14ac:dyDescent="0.45">
      <c r="A546" t="str">
        <v>ATE/IO105/PWM_TIMEOUT</v>
      </c>
      <c r="B546" t="str">
        <v>Targets/Controller/Custom Devices/FPGA Addon/Scalars/Scalar Outputs/PWM.Set.IO105/TIMEOUT</v>
      </c>
    </row>
    <row r="547" spans="1:2" x14ac:dyDescent="0.45">
      <c r="A547" t="str">
        <v>None</v>
      </c>
      <c r="B547" t="str">
        <v>Targets/Controller/Hardware/SLSC/SLSC Chassis/Modules/Slot 6 (SLSC EDS)/Physical Channels/port1//line0/Properties/NI.Line.Direction</v>
      </c>
    </row>
    <row r="548" spans="1:2" x14ac:dyDescent="0.45">
      <c r="A548" t="str">
        <v>None</v>
      </c>
      <c r="B548" t="str">
        <v>Targets/Controller/Calculated Channels/ATE/IO105/AI</v>
      </c>
    </row>
    <row r="549" spans="1:2" x14ac:dyDescent="0.45">
      <c r="A549" t="str">
        <v>None</v>
      </c>
      <c r="B549" t="str">
        <v>Targets/Controller/Hardware/SLSC/SLSC Chassis/Modules/Slot 1 (SLSC EDS :: SLSC-12251)/Physical Channels/Channel_8</v>
      </c>
    </row>
    <row r="550" spans="1:2" x14ac:dyDescent="0.45">
      <c r="A550" t="str">
        <v>ATE/IO106/PWM_FR</v>
      </c>
      <c r="B550" t="str">
        <v>Targets/Controller/Custom Devices/FPGA Addon/Scalars/Scalar Inputs/PWM.In.IO106/FREQ</v>
      </c>
    </row>
    <row r="551" spans="1:2" x14ac:dyDescent="0.45">
      <c r="A551" t="str">
        <v>ATE/IO106/PWM_DC</v>
      </c>
      <c r="B551" t="str">
        <v>Targets/Controller/Custom Devices/FPGA Addon/Scalars/Scalar Inputs/PWM.In.IO106/DC</v>
      </c>
    </row>
    <row r="552" spans="1:2" x14ac:dyDescent="0.45">
      <c r="A552" t="str">
        <v>ATE/IO106/DI</v>
      </c>
      <c r="B552" t="str">
        <v>Targets/Controller/Custom Devices/FPGA Addon/Scalars/Scalar Inputs/DI.IO106/STATE</v>
      </c>
    </row>
    <row r="553" spans="1:2" x14ac:dyDescent="0.45">
      <c r="A553" t="str">
        <v>ATE/IO106/PWM_TIMEOUT</v>
      </c>
      <c r="B553" t="str">
        <v>Targets/Controller/Custom Devices/FPGA Addon/Scalars/Scalar Outputs/PWM.Set.IO106/TIMEOUT</v>
      </c>
    </row>
    <row r="554" spans="1:2" x14ac:dyDescent="0.45">
      <c r="A554" t="str">
        <v>None</v>
      </c>
      <c r="B554" t="str">
        <v>Targets/Controller/Hardware/SLSC/SLSC Chassis/Modules/Slot 6 (SLSC EDS)/Physical Channels/port1//line1/Properties/NI.Line.Direction</v>
      </c>
    </row>
    <row r="555" spans="1:2" x14ac:dyDescent="0.45">
      <c r="A555" t="str">
        <v>None</v>
      </c>
      <c r="B555" t="str">
        <v>Targets/Controller/Calculated Channels/ATE/IO106/AI</v>
      </c>
    </row>
    <row r="556" spans="1:2" x14ac:dyDescent="0.45">
      <c r="A556" t="str">
        <v>None</v>
      </c>
      <c r="B556" t="str">
        <v>Targets/Controller/Hardware/SLSC/SLSC Chassis/Modules/Slot 1 (SLSC EDS :: SLSC-12251)/Physical Channels/Channel_9</v>
      </c>
    </row>
    <row r="557" spans="1:2" x14ac:dyDescent="0.45">
      <c r="A557" t="str">
        <v>ATE/IO107/PWM_FR</v>
      </c>
      <c r="B557" t="str">
        <v>Targets/Controller/Custom Devices/FPGA Addon/Scalars/Scalar Inputs/PWM.In.IO107/FREQ</v>
      </c>
    </row>
    <row r="558" spans="1:2" x14ac:dyDescent="0.45">
      <c r="A558" t="str">
        <v>ATE/IO107/PWM_DC</v>
      </c>
      <c r="B558" t="str">
        <v>Targets/Controller/Custom Devices/FPGA Addon/Scalars/Scalar Inputs/PWM.In.IO107/DC</v>
      </c>
    </row>
    <row r="559" spans="1:2" x14ac:dyDescent="0.45">
      <c r="A559" t="str">
        <v>ATE/IO107/DI</v>
      </c>
      <c r="B559" t="str">
        <v>Targets/Controller/Custom Devices/FPGA Addon/Scalars/Scalar Inputs/DI.IO107/STATE</v>
      </c>
    </row>
    <row r="560" spans="1:2" x14ac:dyDescent="0.45">
      <c r="A560" t="str">
        <v>ATE/IO107/PWM_TIMEOUT</v>
      </c>
      <c r="B560" t="str">
        <v>Targets/Controller/Custom Devices/FPGA Addon/Scalars/Scalar Outputs/PWM.Set.IO107/TIMEOUT</v>
      </c>
    </row>
    <row r="561" spans="1:2" x14ac:dyDescent="0.45">
      <c r="A561" t="str">
        <v>None</v>
      </c>
      <c r="B561" t="str">
        <v>Targets/Controller/Hardware/SLSC/SLSC Chassis/Modules/Slot 6 (SLSC EDS)/Physical Channels/port1//line2/Properties/NI.Line.Direction</v>
      </c>
    </row>
    <row r="562" spans="1:2" x14ac:dyDescent="0.45">
      <c r="A562" t="str">
        <v>None</v>
      </c>
      <c r="B562" t="str">
        <v>Targets/Controller/Calculated Channels/ATE/IO107/AI</v>
      </c>
    </row>
    <row r="563" spans="1:2" x14ac:dyDescent="0.45">
      <c r="A563" t="str">
        <v>None</v>
      </c>
      <c r="B563" t="str">
        <v>Targets/Controller/Hardware/SLSC/SLSC Chassis/Modules/Slot 1 (SLSC EDS :: SLSC-12251)/Physical Channels/Channel_10</v>
      </c>
    </row>
    <row r="564" spans="1:2" x14ac:dyDescent="0.45">
      <c r="A564" t="str">
        <v>ATE/IO108/PWM_FR</v>
      </c>
      <c r="B564" t="str">
        <v>Targets/Controller/Custom Devices/FPGA Addon/Scalars/Scalar Inputs/PWM.In.IO108/FREQ</v>
      </c>
    </row>
    <row r="565" spans="1:2" x14ac:dyDescent="0.45">
      <c r="A565" t="str">
        <v>ATE/IO108/PWM_DC</v>
      </c>
      <c r="B565" t="str">
        <v>Targets/Controller/Custom Devices/FPGA Addon/Scalars/Scalar Inputs/PWM.In.IO108/DC</v>
      </c>
    </row>
    <row r="566" spans="1:2" x14ac:dyDescent="0.45">
      <c r="A566" t="str">
        <v>ATE/IO108/DI</v>
      </c>
      <c r="B566" t="str">
        <v>Targets/Controller/Custom Devices/FPGA Addon/Scalars/Scalar Inputs/DI.IO108/STATE</v>
      </c>
    </row>
    <row r="567" spans="1:2" x14ac:dyDescent="0.45">
      <c r="A567" t="str">
        <v>ATE/IO108/PWM_TIMEOUT</v>
      </c>
      <c r="B567" t="str">
        <v>Targets/Controller/Custom Devices/FPGA Addon/Scalars/Scalar Outputs/PWM.Set.IO108/TIMEOUT</v>
      </c>
    </row>
    <row r="568" spans="1:2" x14ac:dyDescent="0.45">
      <c r="A568" t="str">
        <v>None</v>
      </c>
      <c r="B568" t="str">
        <v>Targets/Controller/Hardware/SLSC/SLSC Chassis/Modules/Slot 6 (SLSC EDS)/Physical Channels/port1//line3/Properties/NI.Line.Direction</v>
      </c>
    </row>
    <row r="569" spans="1:2" x14ac:dyDescent="0.45">
      <c r="A569" t="str">
        <v>None</v>
      </c>
      <c r="B569" t="str">
        <v>Targets/Controller/Calculated Channels/ATE/IO108/AI</v>
      </c>
    </row>
    <row r="570" spans="1:2" x14ac:dyDescent="0.45">
      <c r="A570" t="str">
        <v>None</v>
      </c>
      <c r="B570" t="str">
        <v>Targets/Controller/Hardware/SLSC/SLSC Chassis/Modules/Slot 1 (SLSC EDS :: SLSC-12251)/Physical Channels/Channel_11</v>
      </c>
    </row>
    <row r="571" spans="1:2" x14ac:dyDescent="0.45">
      <c r="A571" t="str">
        <v>ATE/IO109/PWM_FR</v>
      </c>
      <c r="B571" t="str">
        <v>Targets/Controller/Custom Devices/FPGA Addon/Scalars/Scalar Inputs/PWM.In.IO109/FREQ</v>
      </c>
    </row>
    <row r="572" spans="1:2" x14ac:dyDescent="0.45">
      <c r="A572" t="str">
        <v>ATE/IO109/PWM_DC</v>
      </c>
      <c r="B572" t="str">
        <v>Targets/Controller/Custom Devices/FPGA Addon/Scalars/Scalar Inputs/PWM.In.IO109/DC</v>
      </c>
    </row>
    <row r="573" spans="1:2" x14ac:dyDescent="0.45">
      <c r="A573" t="str">
        <v>ATE/IO109/DI</v>
      </c>
      <c r="B573" t="str">
        <v>Targets/Controller/Custom Devices/FPGA Addon/Scalars/Scalar Inputs/DI.IO109/STATE</v>
      </c>
    </row>
    <row r="574" spans="1:2" x14ac:dyDescent="0.45">
      <c r="A574" t="str">
        <v>ATE/IO109/PWM_TIMEOUT</v>
      </c>
      <c r="B574" t="str">
        <v>Targets/Controller/Custom Devices/FPGA Addon/Scalars/Scalar Outputs/PWM.Set.IO109/TIMEOUT</v>
      </c>
    </row>
    <row r="575" spans="1:2" x14ac:dyDescent="0.45">
      <c r="A575" t="str">
        <v>None</v>
      </c>
      <c r="B575" t="str">
        <v>Targets/Controller/Hardware/SLSC/SLSC Chassis/Modules/Slot 6 (SLSC EDS)/Physical Channels/port1//line4/Properties/NI.Line.Direction</v>
      </c>
    </row>
    <row r="576" spans="1:2" x14ac:dyDescent="0.45">
      <c r="A576" t="str">
        <v>None</v>
      </c>
      <c r="B576" t="str">
        <v>Targets/Controller/Calculated Channels/ATE/IO109/AI</v>
      </c>
    </row>
    <row r="577" spans="1:2" x14ac:dyDescent="0.45">
      <c r="A577" t="str">
        <v>None</v>
      </c>
      <c r="B577" t="str">
        <v>Targets/Controller/Hardware/SLSC/SLSC Chassis/Modules/Slot 1 (SLSC EDS :: SLSC-12251)/Physical Channels/Channel_12</v>
      </c>
    </row>
    <row r="578" spans="1:2" x14ac:dyDescent="0.45">
      <c r="A578" t="str">
        <v>ATE/IO110/PWM_FR</v>
      </c>
      <c r="B578" t="str">
        <v>Targets/Controller/Custom Devices/FPGA Addon/Scalars/Scalar Inputs/PWM.In.IO110/FREQ</v>
      </c>
    </row>
    <row r="579" spans="1:2" x14ac:dyDescent="0.45">
      <c r="A579" t="str">
        <v>ATE/IO110/PWM_DC</v>
      </c>
      <c r="B579" t="str">
        <v>Targets/Controller/Custom Devices/FPGA Addon/Scalars/Scalar Inputs/PWM.In.IO110/DC</v>
      </c>
    </row>
    <row r="580" spans="1:2" x14ac:dyDescent="0.45">
      <c r="A580" t="str">
        <v>ATE/IO110/DI</v>
      </c>
      <c r="B580" t="str">
        <v>Targets/Controller/Custom Devices/FPGA Addon/Scalars/Scalar Inputs/DI.IO110/STATE</v>
      </c>
    </row>
    <row r="581" spans="1:2" x14ac:dyDescent="0.45">
      <c r="A581" t="str">
        <v>ATE/IO110/PWM_TIMEOUT</v>
      </c>
      <c r="B581" t="str">
        <v>Targets/Controller/Custom Devices/FPGA Addon/Scalars/Scalar Outputs/PWM.Set.IO110/TIMEOUT</v>
      </c>
    </row>
    <row r="582" spans="1:2" x14ac:dyDescent="0.45">
      <c r="A582" t="str">
        <v>None</v>
      </c>
      <c r="B582" t="str">
        <v>Targets/Controller/Hardware/SLSC/SLSC Chassis/Modules/Slot 6 (SLSC EDS)/Physical Channels/port1//line5/Properties/NI.Line.Direction</v>
      </c>
    </row>
    <row r="583" spans="1:2" x14ac:dyDescent="0.45">
      <c r="A583" t="str">
        <v>None</v>
      </c>
      <c r="B583" t="str">
        <v>Targets/Controller/Calculated Channels/ATE/IO110/AI</v>
      </c>
    </row>
    <row r="584" spans="1:2" x14ac:dyDescent="0.45">
      <c r="A584" t="str">
        <v>None</v>
      </c>
      <c r="B584" t="str">
        <v>Targets/Controller/Hardware/SLSC/SLSC Chassis/Modules/Slot 1 (SLSC EDS :: SLSC-12251)/Physical Channels/Channel_13</v>
      </c>
    </row>
    <row r="585" spans="1:2" x14ac:dyDescent="0.45">
      <c r="A585" t="str">
        <v>ATE/IO111/PWM_FR</v>
      </c>
      <c r="B585" t="str">
        <v>Targets/Controller/Custom Devices/FPGA Addon/Scalars/Scalar Inputs/PWM.In.IO111/FREQ</v>
      </c>
    </row>
    <row r="586" spans="1:2" x14ac:dyDescent="0.45">
      <c r="A586" t="str">
        <v>ATE/IO111/PWM_DC</v>
      </c>
      <c r="B586" t="str">
        <v>Targets/Controller/Custom Devices/FPGA Addon/Scalars/Scalar Inputs/PWM.In.IO111/DC</v>
      </c>
    </row>
    <row r="587" spans="1:2" x14ac:dyDescent="0.45">
      <c r="A587" t="str">
        <v>ATE/IO111/DI</v>
      </c>
      <c r="B587" t="str">
        <v>Targets/Controller/Custom Devices/FPGA Addon/Scalars/Scalar Inputs/DI.IO111/STATE</v>
      </c>
    </row>
    <row r="588" spans="1:2" x14ac:dyDescent="0.45">
      <c r="A588" t="str">
        <v>ATE/IO111/PWM_TIMEOUT</v>
      </c>
      <c r="B588" t="str">
        <v>Targets/Controller/Custom Devices/FPGA Addon/Scalars/Scalar Outputs/PWM.Set.IO111/TIMEOUT</v>
      </c>
    </row>
    <row r="589" spans="1:2" x14ac:dyDescent="0.45">
      <c r="A589" t="str">
        <v>None</v>
      </c>
      <c r="B589" t="str">
        <v>Targets/Controller/Hardware/SLSC/SLSC Chassis/Modules/Slot 6 (SLSC EDS)/Physical Channels/port1//line6/Properties/NI.Line.Direction</v>
      </c>
    </row>
    <row r="590" spans="1:2" x14ac:dyDescent="0.45">
      <c r="A590" t="str">
        <v>None</v>
      </c>
      <c r="B590" t="str">
        <v>Targets/Controller/Calculated Channels/ATE/IO111/AI</v>
      </c>
    </row>
    <row r="591" spans="1:2" x14ac:dyDescent="0.45">
      <c r="A591" t="str">
        <v>None</v>
      </c>
      <c r="B591" t="str">
        <v>Targets/Controller/Hardware/SLSC/SLSC Chassis/Modules/Slot 1 (SLSC EDS :: SLSC-12251)/Physical Channels/Channel_14</v>
      </c>
    </row>
    <row r="592" spans="1:2" x14ac:dyDescent="0.45">
      <c r="A592" t="str">
        <v>ATE/IO112/PWM_FR</v>
      </c>
      <c r="B592" t="str">
        <v>Targets/Controller/Custom Devices/FPGA Addon/Scalars/Scalar Inputs/PWM.In.IO112/FREQ</v>
      </c>
    </row>
    <row r="593" spans="1:2" x14ac:dyDescent="0.45">
      <c r="A593" t="str">
        <v>ATE/IO112/PWM_DC</v>
      </c>
      <c r="B593" t="str">
        <v>Targets/Controller/Custom Devices/FPGA Addon/Scalars/Scalar Inputs/PWM.In.IO112/DC</v>
      </c>
    </row>
    <row r="594" spans="1:2" x14ac:dyDescent="0.45">
      <c r="A594" t="str">
        <v>ATE/IO112/DI</v>
      </c>
      <c r="B594" t="str">
        <v>Targets/Controller/Custom Devices/FPGA Addon/Scalars/Scalar Inputs/DI.IO112/STATE</v>
      </c>
    </row>
    <row r="595" spans="1:2" x14ac:dyDescent="0.45">
      <c r="A595" t="str">
        <v>ATE/IO112/PWM_TIMEOUT</v>
      </c>
      <c r="B595" t="str">
        <v>Targets/Controller/Custom Devices/FPGA Addon/Scalars/Scalar Outputs/PWM.Set.IO112/TIMEOUT</v>
      </c>
    </row>
    <row r="596" spans="1:2" x14ac:dyDescent="0.45">
      <c r="A596" t="str">
        <v>None</v>
      </c>
      <c r="B596" t="str">
        <v>Targets/Controller/Hardware/SLSC/SLSC Chassis/Modules/Slot 6 (SLSC EDS)/Physical Channels/port1//line7/Properties/NI.Line.Direction</v>
      </c>
    </row>
    <row r="597" spans="1:2" x14ac:dyDescent="0.45">
      <c r="A597" t="str">
        <v>None</v>
      </c>
      <c r="B597" t="str">
        <v>Targets/Controller/Calculated Channels/ATE/IO112/AI</v>
      </c>
    </row>
    <row r="598" spans="1:2" x14ac:dyDescent="0.45">
      <c r="A598" t="str">
        <v>None</v>
      </c>
      <c r="B598" t="str">
        <v>Targets/Controller/Hardware/SLSC/SLSC Chassis/Modules/Slot 1 (SLSC EDS :: SLSC-12251)/Physical Channels/Channel_15</v>
      </c>
    </row>
    <row r="599" spans="1:2" x14ac:dyDescent="0.45">
      <c r="A599" t="str">
        <v>ATE/IO113/PWM_FR</v>
      </c>
      <c r="B599" t="str">
        <v>Targets/Controller/Custom Devices/FPGA Addon/Scalars/Scalar Inputs/PWM.In.IO113/FREQ</v>
      </c>
    </row>
    <row r="600" spans="1:2" x14ac:dyDescent="0.45">
      <c r="A600" t="str">
        <v>ATE/IO113/PWM_DC</v>
      </c>
      <c r="B600" t="str">
        <v>Targets/Controller/Custom Devices/FPGA Addon/Scalars/Scalar Inputs/PWM.In.IO113/DC</v>
      </c>
    </row>
    <row r="601" spans="1:2" x14ac:dyDescent="0.45">
      <c r="A601" t="str">
        <v>ATE/IO113/DI</v>
      </c>
      <c r="B601" t="str">
        <v>Targets/Controller/Custom Devices/FPGA Addon/Scalars/Scalar Inputs/DI.IO113/STATE</v>
      </c>
    </row>
    <row r="602" spans="1:2" x14ac:dyDescent="0.45">
      <c r="A602" t="str">
        <v>ATE/IO113/PWM_TIMEOUT</v>
      </c>
      <c r="B602" t="str">
        <v>Targets/Controller/Custom Devices/FPGA Addon/Scalars/Scalar Outputs/PWM.Set.IO113/TIMEOUT</v>
      </c>
    </row>
    <row r="603" spans="1:2" x14ac:dyDescent="0.45">
      <c r="A603" t="str">
        <v>None</v>
      </c>
      <c r="B603" t="str">
        <v>Targets/Controller/Hardware/SLSC/SLSC Chassis/Modules/Slot 6 (SLSC EDS)/Physical Channels/port2//line0/Properties/NI.Line.Direction</v>
      </c>
    </row>
    <row r="604" spans="1:2" x14ac:dyDescent="0.45">
      <c r="A604" t="str">
        <v>None</v>
      </c>
      <c r="B604" t="str">
        <v>Targets/Controller/Calculated Channels/ATE/IO113/AI</v>
      </c>
    </row>
    <row r="605" spans="1:2" x14ac:dyDescent="0.45">
      <c r="A605" t="str">
        <v>None</v>
      </c>
      <c r="B605" t="str">
        <v>Targets/Controller/Hardware/SLSC/SLSC Chassis/Modules/Slot 2 (SLSC EDS :: SLSC-12251)/Physical Channels/Channel_0</v>
      </c>
    </row>
    <row r="606" spans="1:2" x14ac:dyDescent="0.45">
      <c r="A606" t="str">
        <v>ATE/IO114/PWM_FR</v>
      </c>
      <c r="B606" t="str">
        <v>Targets/Controller/Custom Devices/FPGA Addon/Scalars/Scalar Inputs/PWM.In.IO114/FREQ</v>
      </c>
    </row>
    <row r="607" spans="1:2" x14ac:dyDescent="0.45">
      <c r="A607" t="str">
        <v>ATE/IO114/PWM_DC</v>
      </c>
      <c r="B607" t="str">
        <v>Targets/Controller/Custom Devices/FPGA Addon/Scalars/Scalar Inputs/PWM.In.IO114/DC</v>
      </c>
    </row>
    <row r="608" spans="1:2" x14ac:dyDescent="0.45">
      <c r="A608" t="str">
        <v>ATE/IO114/DI</v>
      </c>
      <c r="B608" t="str">
        <v>Targets/Controller/Custom Devices/FPGA Addon/Scalars/Scalar Inputs/DI.IO114/STATE</v>
      </c>
    </row>
    <row r="609" spans="1:2" x14ac:dyDescent="0.45">
      <c r="A609" t="str">
        <v>ATE/IO114/PWM_TIMEOUT</v>
      </c>
      <c r="B609" t="str">
        <v>Targets/Controller/Custom Devices/FPGA Addon/Scalars/Scalar Outputs/PWM.Set.IO114/TIMEOUT</v>
      </c>
    </row>
    <row r="610" spans="1:2" x14ac:dyDescent="0.45">
      <c r="A610" t="str">
        <v>None</v>
      </c>
      <c r="B610" t="str">
        <v>Targets/Controller/Hardware/SLSC/SLSC Chassis/Modules/Slot 6 (SLSC EDS)/Physical Channels/port2//line1/Properties/NI.Line.Direction</v>
      </c>
    </row>
    <row r="611" spans="1:2" x14ac:dyDescent="0.45">
      <c r="A611" t="str">
        <v>None</v>
      </c>
      <c r="B611" t="str">
        <v>Targets/Controller/Calculated Channels/ATE/IO114/AI</v>
      </c>
    </row>
    <row r="612" spans="1:2" x14ac:dyDescent="0.45">
      <c r="A612" t="str">
        <v>None</v>
      </c>
      <c r="B612" t="str">
        <v>Targets/Controller/Hardware/SLSC/SLSC Chassis/Modules/Slot 2 (SLSC EDS :: SLSC-12251)/Physical Channels/Channel_1</v>
      </c>
    </row>
    <row r="613" spans="1:2" x14ac:dyDescent="0.45">
      <c r="A613" t="str">
        <v>ATE/IO115/PWM_FR</v>
      </c>
      <c r="B613" t="str">
        <v>Targets/Controller/Custom Devices/FPGA Addon/Scalars/Scalar Inputs/PWM.In.IO115/FREQ</v>
      </c>
    </row>
    <row r="614" spans="1:2" x14ac:dyDescent="0.45">
      <c r="A614" t="str">
        <v>ATE/IO115/PWM_DC</v>
      </c>
      <c r="B614" t="str">
        <v>Targets/Controller/Custom Devices/FPGA Addon/Scalars/Scalar Inputs/PWM.In.IO115/DC</v>
      </c>
    </row>
    <row r="615" spans="1:2" x14ac:dyDescent="0.45">
      <c r="A615" t="str">
        <v>ATE/IO115/DI</v>
      </c>
      <c r="B615" t="str">
        <v>Targets/Controller/Custom Devices/FPGA Addon/Scalars/Scalar Inputs/DI.IO115/STATE</v>
      </c>
    </row>
    <row r="616" spans="1:2" x14ac:dyDescent="0.45">
      <c r="A616" t="str">
        <v>ATE/IO115/PWM_TIMEOUT</v>
      </c>
      <c r="B616" t="str">
        <v>Targets/Controller/Custom Devices/FPGA Addon/Scalars/Scalar Outputs/PWM.Set.IO115/TIMEOUT</v>
      </c>
    </row>
    <row r="617" spans="1:2" x14ac:dyDescent="0.45">
      <c r="A617" t="str">
        <v>None</v>
      </c>
      <c r="B617" t="str">
        <v>Targets/Controller/Hardware/SLSC/SLSC Chassis/Modules/Slot 6 (SLSC EDS)/Physical Channels/port2//line2/Properties/NI.Line.Direction</v>
      </c>
    </row>
    <row r="618" spans="1:2" x14ac:dyDescent="0.45">
      <c r="A618" t="str">
        <v>None</v>
      </c>
      <c r="B618" t="str">
        <v>Targets/Controller/Calculated Channels/ATE/IO115/AI</v>
      </c>
    </row>
    <row r="619" spans="1:2" x14ac:dyDescent="0.45">
      <c r="A619" t="str">
        <v>None</v>
      </c>
      <c r="B619" t="str">
        <v>Targets/Controller/Hardware/SLSC/SLSC Chassis/Modules/Slot 2 (SLSC EDS :: SLSC-12251)/Physical Channels/Channel_2</v>
      </c>
    </row>
    <row r="620" spans="1:2" x14ac:dyDescent="0.45">
      <c r="A620" t="str">
        <v>ATE/IO116/PWM_FR</v>
      </c>
      <c r="B620" t="str">
        <v>Targets/Controller/Custom Devices/FPGA Addon/Scalars/Scalar Inputs/PWM.In.IO116/FREQ</v>
      </c>
    </row>
    <row r="621" spans="1:2" x14ac:dyDescent="0.45">
      <c r="A621" t="str">
        <v>ATE/IO116/PWM_DC</v>
      </c>
      <c r="B621" t="str">
        <v>Targets/Controller/Custom Devices/FPGA Addon/Scalars/Scalar Inputs/PWM.In.IO116/DC</v>
      </c>
    </row>
    <row r="622" spans="1:2" x14ac:dyDescent="0.45">
      <c r="A622" t="str">
        <v>ATE/IO116/DI</v>
      </c>
      <c r="B622" t="str">
        <v>Targets/Controller/Custom Devices/FPGA Addon/Scalars/Scalar Inputs/DI.IO116/STATE</v>
      </c>
    </row>
    <row r="623" spans="1:2" x14ac:dyDescent="0.45">
      <c r="A623" t="str">
        <v>ATE/IO116/PWM_TIMEOUT</v>
      </c>
      <c r="B623" t="str">
        <v>Targets/Controller/Custom Devices/FPGA Addon/Scalars/Scalar Outputs/PWM.Set.IO116/TIMEOUT</v>
      </c>
    </row>
    <row r="624" spans="1:2" x14ac:dyDescent="0.45">
      <c r="A624" t="str">
        <v>None</v>
      </c>
      <c r="B624" t="str">
        <v>Targets/Controller/Hardware/SLSC/SLSC Chassis/Modules/Slot 6 (SLSC EDS)/Physical Channels/port2//line3/Properties/NI.Line.Direction</v>
      </c>
    </row>
    <row r="625" spans="1:2" x14ac:dyDescent="0.45">
      <c r="A625" t="str">
        <v>None</v>
      </c>
      <c r="B625" t="str">
        <v>Targets/Controller/Calculated Channels/ATE/IO116/AI</v>
      </c>
    </row>
    <row r="626" spans="1:2" x14ac:dyDescent="0.45">
      <c r="A626" t="str">
        <v>None</v>
      </c>
      <c r="B626" t="str">
        <v>Targets/Controller/Hardware/SLSC/SLSC Chassis/Modules/Slot 2 (SLSC EDS :: SLSC-12251)/Physical Channels/Channel_3</v>
      </c>
    </row>
    <row r="627" spans="1:2" x14ac:dyDescent="0.45">
      <c r="A627" t="str">
        <v>ATE/IO117/PWM_FR</v>
      </c>
      <c r="B627" t="str">
        <v>Targets/Controller/Custom Devices/FPGA Addon/Scalars/Scalar Inputs/PWM.In.IO117/FREQ</v>
      </c>
    </row>
    <row r="628" spans="1:2" x14ac:dyDescent="0.45">
      <c r="A628" t="str">
        <v>ATE/IO117/PWM_DC</v>
      </c>
      <c r="B628" t="str">
        <v>Targets/Controller/Custom Devices/FPGA Addon/Scalars/Scalar Inputs/PWM.In.IO117/DC</v>
      </c>
    </row>
    <row r="629" spans="1:2" x14ac:dyDescent="0.45">
      <c r="A629" t="str">
        <v>ATE/IO117/DI</v>
      </c>
      <c r="B629" t="str">
        <v>Targets/Controller/Custom Devices/FPGA Addon/Scalars/Scalar Inputs/DI.IO117/STATE</v>
      </c>
    </row>
    <row r="630" spans="1:2" x14ac:dyDescent="0.45">
      <c r="A630" t="str">
        <v>ATE/IO117/PWM_TIMEOUT</v>
      </c>
      <c r="B630" t="str">
        <v>Targets/Controller/Custom Devices/FPGA Addon/Scalars/Scalar Outputs/PWM.Set.IO117/TIMEOUT</v>
      </c>
    </row>
    <row r="631" spans="1:2" x14ac:dyDescent="0.45">
      <c r="A631" t="str">
        <v>None</v>
      </c>
      <c r="B631" t="str">
        <v>Targets/Controller/Hardware/SLSC/SLSC Chassis/Modules/Slot 6 (SLSC EDS)/Physical Channels/port2//line4/Properties/NI.Line.Direction</v>
      </c>
    </row>
    <row r="632" spans="1:2" x14ac:dyDescent="0.45">
      <c r="A632" t="str">
        <v>None</v>
      </c>
      <c r="B632" t="str">
        <v>Targets/Controller/Calculated Channels/ATE/IO117/AI</v>
      </c>
    </row>
    <row r="633" spans="1:2" x14ac:dyDescent="0.45">
      <c r="A633" t="str">
        <v>None</v>
      </c>
      <c r="B633" t="str">
        <v>Targets/Controller/Hardware/SLSC/SLSC Chassis/Modules/Slot 2 (SLSC EDS :: SLSC-12251)/Physical Channels/Channel_4</v>
      </c>
    </row>
    <row r="634" spans="1:2" x14ac:dyDescent="0.45">
      <c r="A634" t="str">
        <v>ATE/IO118/PWM_FR</v>
      </c>
      <c r="B634" t="str">
        <v>Targets/Controller/Custom Devices/FPGA Addon/Scalars/Scalar Inputs/PWM.In.IO118/FREQ</v>
      </c>
    </row>
    <row r="635" spans="1:2" x14ac:dyDescent="0.45">
      <c r="A635" t="str">
        <v>ATE/IO118/PWM_DC</v>
      </c>
      <c r="B635" t="str">
        <v>Targets/Controller/Custom Devices/FPGA Addon/Scalars/Scalar Inputs/PWM.In.IO118/DC</v>
      </c>
    </row>
    <row r="636" spans="1:2" x14ac:dyDescent="0.45">
      <c r="A636" t="str">
        <v>ATE/IO118/DI</v>
      </c>
      <c r="B636" t="str">
        <v>Targets/Controller/Custom Devices/FPGA Addon/Scalars/Scalar Inputs/DI.IO118/STATE</v>
      </c>
    </row>
    <row r="637" spans="1:2" x14ac:dyDescent="0.45">
      <c r="A637" t="str">
        <v>ATE/IO118/PWM_TIMEOUT</v>
      </c>
      <c r="B637" t="str">
        <v>Targets/Controller/Custom Devices/FPGA Addon/Scalars/Scalar Outputs/PWM.Set.IO118/TIMEOUT</v>
      </c>
    </row>
    <row r="638" spans="1:2" x14ac:dyDescent="0.45">
      <c r="A638" t="str">
        <v>None</v>
      </c>
      <c r="B638" t="str">
        <v>Targets/Controller/Hardware/SLSC/SLSC Chassis/Modules/Slot 6 (SLSC EDS)/Physical Channels/port2//line5/Properties/NI.Line.Direction</v>
      </c>
    </row>
    <row r="639" spans="1:2" x14ac:dyDescent="0.45">
      <c r="A639" t="str">
        <v>None</v>
      </c>
      <c r="B639" t="str">
        <v>Targets/Controller/Calculated Channels/ATE/IO118/AI</v>
      </c>
    </row>
    <row r="640" spans="1:2" x14ac:dyDescent="0.45">
      <c r="A640" t="str">
        <v>None</v>
      </c>
      <c r="B640" t="str">
        <v>Targets/Controller/Hardware/SLSC/SLSC Chassis/Modules/Slot 2 (SLSC EDS :: SLSC-12251)/Physical Channels/Channel_5</v>
      </c>
    </row>
    <row r="641" spans="1:2" x14ac:dyDescent="0.45">
      <c r="A641" t="str">
        <v>ATE/IO119/PWM_FR</v>
      </c>
      <c r="B641" t="str">
        <v>Targets/Controller/Custom Devices/FPGA Addon/Scalars/Scalar Inputs/PWM.In.IO119/FREQ</v>
      </c>
    </row>
    <row r="642" spans="1:2" x14ac:dyDescent="0.45">
      <c r="A642" t="str">
        <v>ATE/IO119/PWM_DC</v>
      </c>
      <c r="B642" t="str">
        <v>Targets/Controller/Custom Devices/FPGA Addon/Scalars/Scalar Inputs/PWM.In.IO119/DC</v>
      </c>
    </row>
    <row r="643" spans="1:2" x14ac:dyDescent="0.45">
      <c r="A643" t="str">
        <v>ATE/IO119/DI</v>
      </c>
      <c r="B643" t="str">
        <v>Targets/Controller/Custom Devices/FPGA Addon/Scalars/Scalar Inputs/DI.IO119/STATE</v>
      </c>
    </row>
    <row r="644" spans="1:2" x14ac:dyDescent="0.45">
      <c r="A644" t="str">
        <v>ATE/IO119/PWM_TIMEOUT</v>
      </c>
      <c r="B644" t="str">
        <v>Targets/Controller/Custom Devices/FPGA Addon/Scalars/Scalar Outputs/PWM.Set.IO119/TIMEOUT</v>
      </c>
    </row>
    <row r="645" spans="1:2" x14ac:dyDescent="0.45">
      <c r="A645" t="str">
        <v>None</v>
      </c>
      <c r="B645" t="str">
        <v>Targets/Controller/Hardware/SLSC/SLSC Chassis/Modules/Slot 6 (SLSC EDS)/Physical Channels/port2//line6/Properties/NI.Line.Direction</v>
      </c>
    </row>
    <row r="646" spans="1:2" x14ac:dyDescent="0.45">
      <c r="A646" t="str">
        <v>None</v>
      </c>
      <c r="B646" t="str">
        <v>Targets/Controller/Calculated Channels/ATE/IO119/AI</v>
      </c>
    </row>
    <row r="647" spans="1:2" x14ac:dyDescent="0.45">
      <c r="A647" t="str">
        <v>None</v>
      </c>
      <c r="B647" t="str">
        <v>Targets/Controller/Hardware/SLSC/SLSC Chassis/Modules/Slot 2 (SLSC EDS :: SLSC-12251)/Physical Channels/Channel_6</v>
      </c>
    </row>
    <row r="648" spans="1:2" x14ac:dyDescent="0.45">
      <c r="A648" t="str">
        <v>ATE/IO120/PWM_FR</v>
      </c>
      <c r="B648" t="str">
        <v>Targets/Controller/Custom Devices/FPGA Addon/Scalars/Scalar Inputs/PWM.In.IO120/FREQ</v>
      </c>
    </row>
    <row r="649" spans="1:2" x14ac:dyDescent="0.45">
      <c r="A649" t="str">
        <v>ATE/IO120/PWM_DC</v>
      </c>
      <c r="B649" t="str">
        <v>Targets/Controller/Custom Devices/FPGA Addon/Scalars/Scalar Inputs/PWM.In.IO120/DC</v>
      </c>
    </row>
    <row r="650" spans="1:2" x14ac:dyDescent="0.45">
      <c r="A650" t="str">
        <v>ATE/IO120/DI</v>
      </c>
      <c r="B650" t="str">
        <v>Targets/Controller/Custom Devices/FPGA Addon/Scalars/Scalar Inputs/DI.IO120/STATE</v>
      </c>
    </row>
    <row r="651" spans="1:2" x14ac:dyDescent="0.45">
      <c r="A651" t="str">
        <v>ATE/IO120/PWM_TIMEOUT</v>
      </c>
      <c r="B651" t="str">
        <v>Targets/Controller/Custom Devices/FPGA Addon/Scalars/Scalar Outputs/PWM.Set.IO120/TIMEOUT</v>
      </c>
    </row>
    <row r="652" spans="1:2" x14ac:dyDescent="0.45">
      <c r="A652" t="str">
        <v>None</v>
      </c>
      <c r="B652" t="str">
        <v>Targets/Controller/Hardware/SLSC/SLSC Chassis/Modules/Slot 6 (SLSC EDS)/Physical Channels/port2//line7/Properties/NI.Line.Direction</v>
      </c>
    </row>
    <row r="653" spans="1:2" x14ac:dyDescent="0.45">
      <c r="A653" t="str">
        <v>None</v>
      </c>
      <c r="B653" t="str">
        <v>Targets/Controller/Calculated Channels/ATE/IO120/AI</v>
      </c>
    </row>
    <row r="654" spans="1:2" x14ac:dyDescent="0.45">
      <c r="A654" t="str">
        <v>None</v>
      </c>
      <c r="B654" t="str">
        <v>Targets/Controller/Hardware/SLSC/SLSC Chassis/Modules/Slot 2 (SLSC EDS :: SLSC-12251)/Physical Channels/Channel_7</v>
      </c>
    </row>
    <row r="655" spans="1:2" x14ac:dyDescent="0.45">
      <c r="A655" t="str">
        <v>ATE/IO121/PWM_FR</v>
      </c>
      <c r="B655" t="str">
        <v>Targets/Controller/Custom Devices/FPGA Addon/Scalars/Scalar Inputs/PWM.In.IO121/FREQ</v>
      </c>
    </row>
    <row r="656" spans="1:2" x14ac:dyDescent="0.45">
      <c r="A656" t="str">
        <v>ATE/IO121/PWM_DC</v>
      </c>
      <c r="B656" t="str">
        <v>Targets/Controller/Custom Devices/FPGA Addon/Scalars/Scalar Inputs/PWM.In.IO121/DC</v>
      </c>
    </row>
    <row r="657" spans="1:2" x14ac:dyDescent="0.45">
      <c r="A657" t="str">
        <v>ATE/IO121/DI</v>
      </c>
      <c r="B657" t="str">
        <v>Targets/Controller/Custom Devices/FPGA Addon/Scalars/Scalar Inputs/DI.IO121/STATE</v>
      </c>
    </row>
    <row r="658" spans="1:2" x14ac:dyDescent="0.45">
      <c r="A658" t="str">
        <v>ATE/IO121/PWM_TIMEOUT</v>
      </c>
      <c r="B658" t="str">
        <v>Targets/Controller/Custom Devices/FPGA Addon/Scalars/Scalar Outputs/PWM.Set.IO121/TIMEOUT</v>
      </c>
    </row>
    <row r="659" spans="1:2" x14ac:dyDescent="0.45">
      <c r="A659" t="str">
        <v>None</v>
      </c>
      <c r="B659" t="str">
        <v>Targets/Controller/Hardware/SLSC/SLSC Chassis/Modules/Slot 6 (SLSC EDS)/Physical Channels/port3//line0/Properties/NI.Line.Direction</v>
      </c>
    </row>
    <row r="660" spans="1:2" x14ac:dyDescent="0.45">
      <c r="A660" t="str">
        <v>None</v>
      </c>
      <c r="B660" t="str">
        <v>Targets/Controller/Calculated Channels/ATE/IO121/AI</v>
      </c>
    </row>
    <row r="661" spans="1:2" x14ac:dyDescent="0.45">
      <c r="A661" t="str">
        <v>None</v>
      </c>
      <c r="B661" t="str">
        <v>Targets/Controller/Hardware/SLSC/SLSC Chassis/Modules/Slot 2 (SLSC EDS :: SLSC-12251)/Physical Channels/Channel_0</v>
      </c>
    </row>
    <row r="662" spans="1:2" x14ac:dyDescent="0.45">
      <c r="A662" t="str">
        <v>ATE/IO122/PWM_FR</v>
      </c>
      <c r="B662" t="str">
        <v>Targets/Controller/Custom Devices/FPGA Addon/Scalars/Scalar Inputs/PWM.In.IO122/FREQ</v>
      </c>
    </row>
    <row r="663" spans="1:2" x14ac:dyDescent="0.45">
      <c r="A663" t="str">
        <v>ATE/IO122/PWM_DC</v>
      </c>
      <c r="B663" t="str">
        <v>Targets/Controller/Custom Devices/FPGA Addon/Scalars/Scalar Inputs/PWM.In.IO122/DC</v>
      </c>
    </row>
    <row r="664" spans="1:2" x14ac:dyDescent="0.45">
      <c r="A664" t="str">
        <v>ATE/IO122/DI</v>
      </c>
      <c r="B664" t="str">
        <v>Targets/Controller/Custom Devices/FPGA Addon/Scalars/Scalar Inputs/DI.IO122/STATE</v>
      </c>
    </row>
    <row r="665" spans="1:2" x14ac:dyDescent="0.45">
      <c r="A665" t="str">
        <v>ATE/IO122/PWM_TIMEOUT</v>
      </c>
      <c r="B665" t="str">
        <v>Targets/Controller/Custom Devices/FPGA Addon/Scalars/Scalar Outputs/PWM.Set.IO122/TIMEOUT</v>
      </c>
    </row>
    <row r="666" spans="1:2" x14ac:dyDescent="0.45">
      <c r="A666" t="str">
        <v>None</v>
      </c>
      <c r="B666" t="str">
        <v>Targets/Controller/Hardware/SLSC/SLSC Chassis/Modules/Slot 6 (SLSC EDS)/Physical Channels/port3//line1/Properties/NI.Line.Direction</v>
      </c>
    </row>
    <row r="667" spans="1:2" x14ac:dyDescent="0.45">
      <c r="A667" t="str">
        <v>None</v>
      </c>
      <c r="B667" t="str">
        <v>Targets/Controller/Calculated Channels/ATE/IO122/AI</v>
      </c>
    </row>
    <row r="668" spans="1:2" x14ac:dyDescent="0.45">
      <c r="A668" t="str">
        <v>None</v>
      </c>
      <c r="B668" t="str">
        <v>Targets/Controller/Hardware/SLSC/SLSC Chassis/Modules/Slot 2 (SLSC EDS :: SLSC-12251)/Physical Channels/Channel_1</v>
      </c>
    </row>
    <row r="669" spans="1:2" x14ac:dyDescent="0.45">
      <c r="A669" t="str">
        <v>ATE/IO123/PWM_FR</v>
      </c>
      <c r="B669" t="str">
        <v>Targets/Controller/Custom Devices/FPGA Addon/Scalars/Scalar Inputs/PWM.In.IO123/FREQ</v>
      </c>
    </row>
    <row r="670" spans="1:2" x14ac:dyDescent="0.45">
      <c r="A670" t="str">
        <v>ATE/IO123/PWM_DC</v>
      </c>
      <c r="B670" t="str">
        <v>Targets/Controller/Custom Devices/FPGA Addon/Scalars/Scalar Inputs/PWM.In.IO123/DC</v>
      </c>
    </row>
    <row r="671" spans="1:2" x14ac:dyDescent="0.45">
      <c r="A671" t="str">
        <v>ATE/IO123/DI</v>
      </c>
      <c r="B671" t="str">
        <v>Targets/Controller/Custom Devices/FPGA Addon/Scalars/Scalar Inputs/DI.IO123/STATE</v>
      </c>
    </row>
    <row r="672" spans="1:2" x14ac:dyDescent="0.45">
      <c r="A672" t="str">
        <v>ATE/IO123/PWM_TIMEOUT</v>
      </c>
      <c r="B672" t="str">
        <v>Targets/Controller/Custom Devices/FPGA Addon/Scalars/Scalar Outputs/PWM.Set.IO123/TIMEOUT</v>
      </c>
    </row>
    <row r="673" spans="1:2" x14ac:dyDescent="0.45">
      <c r="A673" t="str">
        <v>None</v>
      </c>
      <c r="B673" t="str">
        <v>Targets/Controller/Hardware/SLSC/SLSC Chassis/Modules/Slot 6 (SLSC EDS)/Physical Channels/port3//line2/Properties/NI.Line.Direction</v>
      </c>
    </row>
    <row r="674" spans="1:2" x14ac:dyDescent="0.45">
      <c r="A674" t="str">
        <v>None</v>
      </c>
      <c r="B674" t="str">
        <v>Targets/Controller/Calculated Channels/ATE/IO123/AI</v>
      </c>
    </row>
    <row r="675" spans="1:2" x14ac:dyDescent="0.45">
      <c r="A675" t="str">
        <v>None</v>
      </c>
      <c r="B675" t="str">
        <v>Targets/Controller/Hardware/SLSC/SLSC Chassis/Modules/Slot 2 (SLSC EDS :: SLSC-12251)/Physical Channels/Channel_2</v>
      </c>
    </row>
    <row r="676" spans="1:2" x14ac:dyDescent="0.45">
      <c r="A676" t="str">
        <v>ATE/IO124/PWM_FR</v>
      </c>
      <c r="B676" t="str">
        <v>Targets/Controller/Custom Devices/FPGA Addon/Scalars/Scalar Inputs/PWM.In.IO124/FREQ</v>
      </c>
    </row>
    <row r="677" spans="1:2" x14ac:dyDescent="0.45">
      <c r="A677" t="str">
        <v>ATE/IO124/PWM_DC</v>
      </c>
      <c r="B677" t="str">
        <v>Targets/Controller/Custom Devices/FPGA Addon/Scalars/Scalar Inputs/PWM.In.IO124/DC</v>
      </c>
    </row>
    <row r="678" spans="1:2" x14ac:dyDescent="0.45">
      <c r="A678" t="str">
        <v>ATE/IO124/DI</v>
      </c>
      <c r="B678" t="str">
        <v>Targets/Controller/Custom Devices/FPGA Addon/Scalars/Scalar Inputs/DI.IO124/STATE</v>
      </c>
    </row>
    <row r="679" spans="1:2" x14ac:dyDescent="0.45">
      <c r="A679" t="str">
        <v>ATE/IO124/PWM_TIMEOUT</v>
      </c>
      <c r="B679" t="str">
        <v>Targets/Controller/Custom Devices/FPGA Addon/Scalars/Scalar Outputs/PWM.Set.IO124/TIMEOUT</v>
      </c>
    </row>
    <row r="680" spans="1:2" x14ac:dyDescent="0.45">
      <c r="A680" t="str">
        <v>None</v>
      </c>
      <c r="B680" t="str">
        <v>Targets/Controller/Hardware/SLSC/SLSC Chassis/Modules/Slot 6 (SLSC EDS)/Physical Channels/port3//line3/Properties/NI.Line.Direction</v>
      </c>
    </row>
    <row r="681" spans="1:2" x14ac:dyDescent="0.45">
      <c r="A681" t="str">
        <v>None</v>
      </c>
      <c r="B681" t="str">
        <v>Targets/Controller/Calculated Channels/ATE/IO124/AI</v>
      </c>
    </row>
    <row r="682" spans="1:2" x14ac:dyDescent="0.45">
      <c r="A682" t="str">
        <v>None</v>
      </c>
      <c r="B682" t="str">
        <v>Targets/Controller/Hardware/SLSC/SLSC Chassis/Modules/Slot 2 (SLSC EDS :: SLSC-12251)/Physical Channels/Channel_3</v>
      </c>
    </row>
    <row r="683" spans="1:2" x14ac:dyDescent="0.45">
      <c r="A683" t="str">
        <v>ATE/IO125/PWM_FR</v>
      </c>
      <c r="B683" t="str">
        <v>Targets/Controller/Custom Devices/FPGA Addon/Scalars/Scalar Inputs/PWM.In.IO125/FREQ</v>
      </c>
    </row>
    <row r="684" spans="1:2" x14ac:dyDescent="0.45">
      <c r="A684" t="str">
        <v>ATE/IO125/PWM_DC</v>
      </c>
      <c r="B684" t="str">
        <v>Targets/Controller/Custom Devices/FPGA Addon/Scalars/Scalar Inputs/PWM.In.IO125/DC</v>
      </c>
    </row>
    <row r="685" spans="1:2" x14ac:dyDescent="0.45">
      <c r="A685" t="str">
        <v>ATE/IO125/DI</v>
      </c>
      <c r="B685" t="str">
        <v>Targets/Controller/Custom Devices/FPGA Addon/Scalars/Scalar Inputs/DI.IO125/STATE</v>
      </c>
    </row>
    <row r="686" spans="1:2" x14ac:dyDescent="0.45">
      <c r="A686" t="str">
        <v>ATE/IO125/PWM_TIMEOUT</v>
      </c>
      <c r="B686" t="str">
        <v>Targets/Controller/Custom Devices/FPGA Addon/Scalars/Scalar Outputs/PWM.Set.IO125/TIMEOUT</v>
      </c>
    </row>
    <row r="687" spans="1:2" x14ac:dyDescent="0.45">
      <c r="A687" t="str">
        <v>None</v>
      </c>
      <c r="B687" t="str">
        <v>Targets/Controller/Hardware/SLSC/SLSC Chassis/Modules/Slot 6 (SLSC EDS)/Physical Channels/port3//line4/Properties/NI.Line.Direction</v>
      </c>
    </row>
    <row r="688" spans="1:2" x14ac:dyDescent="0.45">
      <c r="A688" t="str">
        <v>None</v>
      </c>
      <c r="B688" t="str">
        <v>Targets/Controller/Calculated Channels/ATE/IO125/AI</v>
      </c>
    </row>
    <row r="689" spans="1:2" x14ac:dyDescent="0.45">
      <c r="A689" t="str">
        <v>None</v>
      </c>
      <c r="B689" t="str">
        <v>Targets/Controller/Hardware/SLSC/SLSC Chassis/Modules/Slot 2 (SLSC EDS :: SLSC-12251)/Physical Channels/Channel_4</v>
      </c>
    </row>
    <row r="690" spans="1:2" x14ac:dyDescent="0.45">
      <c r="A690" t="str">
        <v>ATE/IO126/PWM_FR</v>
      </c>
      <c r="B690" t="str">
        <v>Targets/Controller/Custom Devices/FPGA Addon/Scalars/Scalar Inputs/PWM.In.IO126/FREQ</v>
      </c>
    </row>
    <row r="691" spans="1:2" x14ac:dyDescent="0.45">
      <c r="A691" t="str">
        <v>ATE/IO126/PWM_DC</v>
      </c>
      <c r="B691" t="str">
        <v>Targets/Controller/Custom Devices/FPGA Addon/Scalars/Scalar Inputs/PWM.In.IO126/DC</v>
      </c>
    </row>
    <row r="692" spans="1:2" x14ac:dyDescent="0.45">
      <c r="A692" t="str">
        <v>ATE/IO126/DI</v>
      </c>
      <c r="B692" t="str">
        <v>Targets/Controller/Custom Devices/FPGA Addon/Scalars/Scalar Inputs/DI.IO126/STATE</v>
      </c>
    </row>
    <row r="693" spans="1:2" x14ac:dyDescent="0.45">
      <c r="A693" t="str">
        <v>ATE/IO126/PWM_TIMEOUT</v>
      </c>
      <c r="B693" t="str">
        <v>Targets/Controller/Custom Devices/FPGA Addon/Scalars/Scalar Outputs/PWM.Set.IO126/TIMEOUT</v>
      </c>
    </row>
    <row r="694" spans="1:2" x14ac:dyDescent="0.45">
      <c r="A694" t="str">
        <v>None</v>
      </c>
      <c r="B694" t="str">
        <v>Targets/Controller/Hardware/SLSC/SLSC Chassis/Modules/Slot 6 (SLSC EDS)/Physical Channels/port3//line5/Properties/NI.Line.Direction</v>
      </c>
    </row>
    <row r="695" spans="1:2" x14ac:dyDescent="0.45">
      <c r="A695" t="str">
        <v>None</v>
      </c>
      <c r="B695" t="str">
        <v>Targets/Controller/Calculated Channels/ATE/IO126/AI</v>
      </c>
    </row>
    <row r="696" spans="1:2" x14ac:dyDescent="0.45">
      <c r="A696" t="str">
        <v>None</v>
      </c>
      <c r="B696" t="str">
        <v>Targets/Controller/Hardware/SLSC/SLSC Chassis/Modules/Slot 2 (SLSC EDS :: SLSC-12251)/Physical Channels/Channel_5</v>
      </c>
    </row>
    <row r="697" spans="1:2" x14ac:dyDescent="0.45">
      <c r="A697" t="str">
        <v>ATE/IO127/PWM_FR</v>
      </c>
      <c r="B697" t="str">
        <v>Targets/Controller/Custom Devices/FPGA Addon/Scalars/Scalar Inputs/PWM.In.IO127/FREQ</v>
      </c>
    </row>
    <row r="698" spans="1:2" x14ac:dyDescent="0.45">
      <c r="A698" t="str">
        <v>ATE/IO127/PWM_DC</v>
      </c>
      <c r="B698" t="str">
        <v>Targets/Controller/Custom Devices/FPGA Addon/Scalars/Scalar Inputs/PWM.In.IO127/DC</v>
      </c>
    </row>
    <row r="699" spans="1:2" x14ac:dyDescent="0.45">
      <c r="A699" t="str">
        <v>ATE/IO127/DI</v>
      </c>
      <c r="B699" t="str">
        <v>Targets/Controller/Custom Devices/FPGA Addon/Scalars/Scalar Inputs/DI.IO127/STATE</v>
      </c>
    </row>
    <row r="700" spans="1:2" x14ac:dyDescent="0.45">
      <c r="A700" t="str">
        <v>ATE/IO127/PWM_TIMEOUT</v>
      </c>
      <c r="B700" t="str">
        <v>Targets/Controller/Custom Devices/FPGA Addon/Scalars/Scalar Outputs/PWM.Set.IO127/TIMEOUT</v>
      </c>
    </row>
    <row r="701" spans="1:2" x14ac:dyDescent="0.45">
      <c r="A701" t="str">
        <v>None</v>
      </c>
      <c r="B701" t="str">
        <v>Targets/Controller/Hardware/SLSC/SLSC Chassis/Modules/Slot 6 (SLSC EDS)/Physical Channels/port3//line6/Properties/NI.Line.Direction</v>
      </c>
    </row>
    <row r="702" spans="1:2" x14ac:dyDescent="0.45">
      <c r="A702" t="str">
        <v>None</v>
      </c>
      <c r="B702" t="str">
        <v>Targets/Controller/Calculated Channels/ATE/IO127/AI</v>
      </c>
    </row>
    <row r="703" spans="1:2" x14ac:dyDescent="0.45">
      <c r="A703" t="str">
        <v>None</v>
      </c>
      <c r="B703" t="str">
        <v>Targets/Controller/Hardware/SLSC/SLSC Chassis/Modules/Slot 2 (SLSC EDS :: SLSC-12251)/Physical Channels/Channel_6</v>
      </c>
    </row>
    <row r="704" spans="1:2" x14ac:dyDescent="0.45">
      <c r="A704" t="str">
        <v>ATE/IO128/PWM_FR</v>
      </c>
      <c r="B704" t="str">
        <v>Targets/Controller/Custom Devices/FPGA Addon/Scalars/Scalar Inputs/PWM.In.IO128/FREQ</v>
      </c>
    </row>
    <row r="705" spans="1:2" x14ac:dyDescent="0.45">
      <c r="A705" t="str">
        <v>ATE/IO128/PWM_DC</v>
      </c>
      <c r="B705" t="str">
        <v>Targets/Controller/Custom Devices/FPGA Addon/Scalars/Scalar Inputs/PWM.In.IO128/DC</v>
      </c>
    </row>
    <row r="706" spans="1:2" x14ac:dyDescent="0.45">
      <c r="A706" t="str">
        <v>ATE/IO128/DI</v>
      </c>
      <c r="B706" t="str">
        <v>Targets/Controller/Custom Devices/FPGA Addon/Scalars/Scalar Inputs/DI.IO128/STATE</v>
      </c>
    </row>
    <row r="707" spans="1:2" x14ac:dyDescent="0.45">
      <c r="A707" t="str">
        <v>ATE/IO128/PWM_TIMEOUT</v>
      </c>
      <c r="B707" t="str">
        <v>Targets/Controller/Custom Devices/FPGA Addon/Scalars/Scalar Outputs/PWM.Set.IO128/TIMEOUT</v>
      </c>
    </row>
    <row r="708" spans="1:2" x14ac:dyDescent="0.45">
      <c r="A708" t="str">
        <v>None</v>
      </c>
      <c r="B708" t="str">
        <v>Targets/Controller/Hardware/SLSC/SLSC Chassis/Modules/Slot 6 (SLSC EDS)/Physical Channels/port3//line7/Properties/NI.Line.Direction</v>
      </c>
    </row>
    <row r="709" spans="1:2" x14ac:dyDescent="0.45">
      <c r="A709" t="str">
        <v>None</v>
      </c>
      <c r="B709" t="str">
        <v>Targets/Controller/Calculated Channels/ATE/IO128/AI</v>
      </c>
    </row>
    <row r="710" spans="1:2" x14ac:dyDescent="0.45">
      <c r="A710" t="str">
        <v>None</v>
      </c>
      <c r="B710" t="str">
        <v>Targets/Controller/Hardware/SLSC/SLSC Chassis/Modules/Slot 2 (SLSC EDS :: SLSC-12251)/Physical Channels/Channel_7</v>
      </c>
    </row>
    <row r="711" spans="1:2" x14ac:dyDescent="0.45">
      <c r="A711" t="str">
        <v>ATE/IO129/PWM_FR</v>
      </c>
      <c r="B711" t="str">
        <v>Targets/Controller/Custom Devices/FPGA Addon/Scalars/Scalar Inputs/PWM.In.IO129/FREQ</v>
      </c>
    </row>
    <row r="712" spans="1:2" x14ac:dyDescent="0.45">
      <c r="A712" t="str">
        <v>ATE/IO129/PWM_DC</v>
      </c>
      <c r="B712" t="str">
        <v>Targets/Controller/Custom Devices/FPGA Addon/Scalars/Scalar Inputs/PWM.In.IO129/DC</v>
      </c>
    </row>
    <row r="713" spans="1:2" x14ac:dyDescent="0.45">
      <c r="A713" t="str">
        <v>ATE/IO129/DI</v>
      </c>
      <c r="B713" t="str">
        <v>Targets/Controller/Custom Devices/FPGA Addon/Scalars/Scalar Inputs/DI.IO129/STATE</v>
      </c>
    </row>
    <row r="714" spans="1:2" x14ac:dyDescent="0.45">
      <c r="A714" t="str">
        <v>ATE/IO129/PWM_TIMEOUT</v>
      </c>
      <c r="B714" t="str">
        <v>Targets/Controller/Custom Devices/FPGA Addon/Scalars/Scalar Outputs/PWM.Set.IO129/TIMEOUT</v>
      </c>
    </row>
    <row r="715" spans="1:2" x14ac:dyDescent="0.45">
      <c r="A715" t="str">
        <v>None</v>
      </c>
      <c r="B715" t="str">
        <v>Targets/Controller/Hardware/SLSC/SLSC Chassis/Modules/Slot 7 (SLSC EDS)/Physical Channels/port0//line0/Properties/NI.Line.Direction</v>
      </c>
    </row>
    <row r="716" spans="1:2" x14ac:dyDescent="0.45">
      <c r="A716" t="str">
        <v>None</v>
      </c>
      <c r="B716" t="str">
        <v>Targets/Controller/Calculated Channels/ATE/IO129/AI</v>
      </c>
    </row>
    <row r="717" spans="1:2" x14ac:dyDescent="0.45">
      <c r="A717" t="str">
        <v>None</v>
      </c>
      <c r="B717" t="str">
        <v>Targets/Controller/Hardware/SLSC/SLSC Chassis/Modules/Slot 3 (SLSC EDS :: SLSC-12251)/Physical Channels/Channel_0</v>
      </c>
    </row>
    <row r="718" spans="1:2" x14ac:dyDescent="0.45">
      <c r="A718" t="str">
        <v>ATE/IO130/PWM_FR</v>
      </c>
      <c r="B718" t="str">
        <v>Targets/Controller/Custom Devices/FPGA Addon/Scalars/Scalar Inputs/PWM.In.IO130/FREQ</v>
      </c>
    </row>
    <row r="719" spans="1:2" x14ac:dyDescent="0.45">
      <c r="A719" t="str">
        <v>ATE/IO130/PWM_DC</v>
      </c>
      <c r="B719" t="str">
        <v>Targets/Controller/Custom Devices/FPGA Addon/Scalars/Scalar Inputs/PWM.In.IO130/DC</v>
      </c>
    </row>
    <row r="720" spans="1:2" x14ac:dyDescent="0.45">
      <c r="A720" t="str">
        <v>ATE/IO130/DI</v>
      </c>
      <c r="B720" t="str">
        <v>Targets/Controller/Custom Devices/FPGA Addon/Scalars/Scalar Inputs/DI.IO130/STATE</v>
      </c>
    </row>
    <row r="721" spans="1:2" x14ac:dyDescent="0.45">
      <c r="A721" t="str">
        <v>ATE/IO130/PWM_TIMEOUT</v>
      </c>
      <c r="B721" t="str">
        <v>Targets/Controller/Custom Devices/FPGA Addon/Scalars/Scalar Outputs/PWM.Set.IO130/TIMEOUT</v>
      </c>
    </row>
    <row r="722" spans="1:2" x14ac:dyDescent="0.45">
      <c r="A722" t="str">
        <v>None</v>
      </c>
      <c r="B722" t="str">
        <v>Targets/Controller/Hardware/SLSC/SLSC Chassis/Modules/Slot 7 (SLSC EDS)/Physical Channels/port0//line1/Properties/NI.Line.Direction</v>
      </c>
    </row>
    <row r="723" spans="1:2" x14ac:dyDescent="0.45">
      <c r="A723" t="str">
        <v>None</v>
      </c>
      <c r="B723" t="str">
        <v>Targets/Controller/Calculated Channels/ATE/IO130/AI</v>
      </c>
    </row>
    <row r="724" spans="1:2" x14ac:dyDescent="0.45">
      <c r="A724" t="str">
        <v>None</v>
      </c>
      <c r="B724" t="str">
        <v>Targets/Controller/Hardware/SLSC/SLSC Chassis/Modules/Slot 3 (SLSC EDS :: SLSC-12251)/Physical Channels/Channel_1</v>
      </c>
    </row>
    <row r="725" spans="1:2" x14ac:dyDescent="0.45">
      <c r="A725" t="str">
        <v>ATE/IO131/PWM_FR</v>
      </c>
      <c r="B725" t="str">
        <v>Targets/Controller/Custom Devices/FPGA Addon/Scalars/Scalar Inputs/PWM.In.IO131/FREQ</v>
      </c>
    </row>
    <row r="726" spans="1:2" x14ac:dyDescent="0.45">
      <c r="A726" t="str">
        <v>ATE/IO131/PWM_DC</v>
      </c>
      <c r="B726" t="str">
        <v>Targets/Controller/Custom Devices/FPGA Addon/Scalars/Scalar Inputs/PWM.In.IO131/DC</v>
      </c>
    </row>
    <row r="727" spans="1:2" x14ac:dyDescent="0.45">
      <c r="A727" t="str">
        <v>ATE/IO131/DI</v>
      </c>
      <c r="B727" t="str">
        <v>Targets/Controller/Custom Devices/FPGA Addon/Scalars/Scalar Inputs/DI.IO131/STATE</v>
      </c>
    </row>
    <row r="728" spans="1:2" x14ac:dyDescent="0.45">
      <c r="A728" t="str">
        <v>ATE/IO131/PWM_TIMEOUT</v>
      </c>
      <c r="B728" t="str">
        <v>Targets/Controller/Custom Devices/FPGA Addon/Scalars/Scalar Outputs/PWM.Set.IO131/TIMEOUT</v>
      </c>
    </row>
    <row r="729" spans="1:2" x14ac:dyDescent="0.45">
      <c r="A729" t="str">
        <v>None</v>
      </c>
      <c r="B729" t="str">
        <v>Targets/Controller/Hardware/SLSC/SLSC Chassis/Modules/Slot 7 (SLSC EDS)/Physical Channels/port0//line2/Properties/NI.Line.Direction</v>
      </c>
    </row>
    <row r="730" spans="1:2" x14ac:dyDescent="0.45">
      <c r="A730" t="str">
        <v>None</v>
      </c>
      <c r="B730" t="str">
        <v>Targets/Controller/Calculated Channels/ATE/IO131/AI</v>
      </c>
    </row>
    <row r="731" spans="1:2" x14ac:dyDescent="0.45">
      <c r="A731" t="str">
        <v>None</v>
      </c>
      <c r="B731" t="str">
        <v>Targets/Controller/Hardware/SLSC/SLSC Chassis/Modules/Slot 3 (SLSC EDS :: SLSC-12251)/Physical Channels/Channel_2</v>
      </c>
    </row>
    <row r="732" spans="1:2" x14ac:dyDescent="0.45">
      <c r="A732" t="str">
        <v>ATE/IO132/PWM_FR</v>
      </c>
      <c r="B732" t="str">
        <v>Targets/Controller/Custom Devices/FPGA Addon/Scalars/Scalar Inputs/PWM.In.IO132/FREQ</v>
      </c>
    </row>
    <row r="733" spans="1:2" x14ac:dyDescent="0.45">
      <c r="A733" t="str">
        <v>ATE/IO132/PWM_DC</v>
      </c>
      <c r="B733" t="str">
        <v>Targets/Controller/Custom Devices/FPGA Addon/Scalars/Scalar Inputs/PWM.In.IO132/DC</v>
      </c>
    </row>
    <row r="734" spans="1:2" x14ac:dyDescent="0.45">
      <c r="A734" t="str">
        <v>ATE/IO132/DI</v>
      </c>
      <c r="B734" t="str">
        <v>Targets/Controller/Custom Devices/FPGA Addon/Scalars/Scalar Inputs/DI.IO132/STATE</v>
      </c>
    </row>
    <row r="735" spans="1:2" x14ac:dyDescent="0.45">
      <c r="A735" t="str">
        <v>ATE/IO132/PWM_TIMEOUT</v>
      </c>
      <c r="B735" t="str">
        <v>Targets/Controller/Custom Devices/FPGA Addon/Scalars/Scalar Outputs/PWM.Set.IO132/TIMEOUT</v>
      </c>
    </row>
    <row r="736" spans="1:2" x14ac:dyDescent="0.45">
      <c r="A736" t="str">
        <v>None</v>
      </c>
      <c r="B736" t="str">
        <v>Targets/Controller/Hardware/SLSC/SLSC Chassis/Modules/Slot 7 (SLSC EDS)/Physical Channels/port0//line3/Properties/NI.Line.Direction</v>
      </c>
    </row>
    <row r="737" spans="1:2" x14ac:dyDescent="0.45">
      <c r="A737" t="str">
        <v>None</v>
      </c>
      <c r="B737" t="str">
        <v>Targets/Controller/Calculated Channels/ATE/IO132/AI</v>
      </c>
    </row>
    <row r="738" spans="1:2" x14ac:dyDescent="0.45">
      <c r="A738" t="str">
        <v>None</v>
      </c>
      <c r="B738" t="str">
        <v>Targets/Controller/Hardware/SLSC/SLSC Chassis/Modules/Slot 3 (SLSC EDS :: SLSC-12251)/Physical Channels/Channel_3</v>
      </c>
    </row>
    <row r="739" spans="1:2" x14ac:dyDescent="0.45">
      <c r="A739" t="str">
        <v>ATE/IO133/PWM_FR</v>
      </c>
      <c r="B739" t="str">
        <v>Targets/Controller/Custom Devices/FPGA Addon/Scalars/Scalar Inputs/PWM.In.IO133/FREQ</v>
      </c>
    </row>
    <row r="740" spans="1:2" x14ac:dyDescent="0.45">
      <c r="A740" t="str">
        <v>ATE/IO133/PWM_DC</v>
      </c>
      <c r="B740" t="str">
        <v>Targets/Controller/Custom Devices/FPGA Addon/Scalars/Scalar Inputs/PWM.In.IO133/DC</v>
      </c>
    </row>
    <row r="741" spans="1:2" x14ac:dyDescent="0.45">
      <c r="A741" t="str">
        <v>ATE/IO133/DI</v>
      </c>
      <c r="B741" t="str">
        <v>Targets/Controller/Custom Devices/FPGA Addon/Scalars/Scalar Inputs/DI.IO133/STATE</v>
      </c>
    </row>
    <row r="742" spans="1:2" x14ac:dyDescent="0.45">
      <c r="A742" t="str">
        <v>ATE/IO133/PWM_TIMEOUT</v>
      </c>
      <c r="B742" t="str">
        <v>Targets/Controller/Custom Devices/FPGA Addon/Scalars/Scalar Outputs/PWM.Set.IO133/TIMEOUT</v>
      </c>
    </row>
    <row r="743" spans="1:2" x14ac:dyDescent="0.45">
      <c r="A743" t="str">
        <v>None</v>
      </c>
      <c r="B743" t="str">
        <v>Targets/Controller/Hardware/SLSC/SLSC Chassis/Modules/Slot 7 (SLSC EDS)/Physical Channels/port0//line4/Properties/NI.Line.Direction</v>
      </c>
    </row>
    <row r="744" spans="1:2" x14ac:dyDescent="0.45">
      <c r="A744" t="str">
        <v>None</v>
      </c>
      <c r="B744" t="str">
        <v>Targets/Controller/Calculated Channels/ATE/IO133/AI</v>
      </c>
    </row>
    <row r="745" spans="1:2" x14ac:dyDescent="0.45">
      <c r="A745" t="str">
        <v>None</v>
      </c>
      <c r="B745" t="str">
        <v>Targets/Controller/Hardware/SLSC/SLSC Chassis/Modules/Slot 3 (SLSC EDS :: SLSC-12251)/Physical Channels/Channel_4</v>
      </c>
    </row>
    <row r="746" spans="1:2" x14ac:dyDescent="0.45">
      <c r="A746" t="str">
        <v>ATE/IO134/PWM_FR</v>
      </c>
      <c r="B746" t="str">
        <v>Targets/Controller/Custom Devices/FPGA Addon/Scalars/Scalar Inputs/PWM.In.IO134/FREQ</v>
      </c>
    </row>
    <row r="747" spans="1:2" x14ac:dyDescent="0.45">
      <c r="A747" t="str">
        <v>ATE/IO134/PWM_DC</v>
      </c>
      <c r="B747" t="str">
        <v>Targets/Controller/Custom Devices/FPGA Addon/Scalars/Scalar Inputs/PWM.In.IO134/DC</v>
      </c>
    </row>
    <row r="748" spans="1:2" x14ac:dyDescent="0.45">
      <c r="A748" t="str">
        <v>ATE/IO134/DI</v>
      </c>
      <c r="B748" t="str">
        <v>Targets/Controller/Custom Devices/FPGA Addon/Scalars/Scalar Inputs/DI.IO134/STATE</v>
      </c>
    </row>
    <row r="749" spans="1:2" x14ac:dyDescent="0.45">
      <c r="A749" t="str">
        <v>ATE/IO134/PWM_TIMEOUT</v>
      </c>
      <c r="B749" t="str">
        <v>Targets/Controller/Custom Devices/FPGA Addon/Scalars/Scalar Outputs/PWM.Set.IO134/TIMEOUT</v>
      </c>
    </row>
    <row r="750" spans="1:2" x14ac:dyDescent="0.45">
      <c r="A750" t="str">
        <v>None</v>
      </c>
      <c r="B750" t="str">
        <v>Targets/Controller/Hardware/SLSC/SLSC Chassis/Modules/Slot 7 (SLSC EDS)/Physical Channels/port0//line5/Properties/NI.Line.Direction</v>
      </c>
    </row>
    <row r="751" spans="1:2" x14ac:dyDescent="0.45">
      <c r="A751" t="str">
        <v>None</v>
      </c>
      <c r="B751" t="str">
        <v>Targets/Controller/Calculated Channels/ATE/IO134/AI</v>
      </c>
    </row>
    <row r="752" spans="1:2" x14ac:dyDescent="0.45">
      <c r="A752" t="str">
        <v>None</v>
      </c>
      <c r="B752" t="str">
        <v>Targets/Controller/Hardware/SLSC/SLSC Chassis/Modules/Slot 3 (SLSC EDS :: SLSC-12251)/Physical Channels/Channel_5</v>
      </c>
    </row>
    <row r="753" spans="1:2" x14ac:dyDescent="0.45">
      <c r="A753" t="str">
        <v>ATE/IO135/PWM_FR</v>
      </c>
      <c r="B753" t="str">
        <v>Targets/Controller/Custom Devices/FPGA Addon/Scalars/Scalar Inputs/PWM.In.IO135/FREQ</v>
      </c>
    </row>
    <row r="754" spans="1:2" x14ac:dyDescent="0.45">
      <c r="A754" t="str">
        <v>ATE/IO135/PWM_DC</v>
      </c>
      <c r="B754" t="str">
        <v>Targets/Controller/Custom Devices/FPGA Addon/Scalars/Scalar Inputs/PWM.In.IO135/DC</v>
      </c>
    </row>
    <row r="755" spans="1:2" x14ac:dyDescent="0.45">
      <c r="A755" t="str">
        <v>ATE/IO135/DI</v>
      </c>
      <c r="B755" t="str">
        <v>Targets/Controller/Custom Devices/FPGA Addon/Scalars/Scalar Inputs/DI.IO135/STATE</v>
      </c>
    </row>
    <row r="756" spans="1:2" x14ac:dyDescent="0.45">
      <c r="A756" t="str">
        <v>ATE/IO135/PWM_TIMEOUT</v>
      </c>
      <c r="B756" t="str">
        <v>Targets/Controller/Custom Devices/FPGA Addon/Scalars/Scalar Outputs/PWM.Set.IO135/TIMEOUT</v>
      </c>
    </row>
    <row r="757" spans="1:2" x14ac:dyDescent="0.45">
      <c r="A757" t="str">
        <v>None</v>
      </c>
      <c r="B757" t="str">
        <v>Targets/Controller/Hardware/SLSC/SLSC Chassis/Modules/Slot 7 (SLSC EDS)/Physical Channels/port0//line6/Properties/NI.Line.Direction</v>
      </c>
    </row>
    <row r="758" spans="1:2" x14ac:dyDescent="0.45">
      <c r="A758" t="str">
        <v>None</v>
      </c>
      <c r="B758" t="str">
        <v>Targets/Controller/Calculated Channels/ATE/IO135/AI</v>
      </c>
    </row>
    <row r="759" spans="1:2" x14ac:dyDescent="0.45">
      <c r="A759" t="str">
        <v>None</v>
      </c>
      <c r="B759" t="str">
        <v>Targets/Controller/Hardware/SLSC/SLSC Chassis/Modules/Slot 3 (SLSC EDS :: SLSC-12251)/Physical Channels/Channel_6</v>
      </c>
    </row>
    <row r="760" spans="1:2" x14ac:dyDescent="0.45">
      <c r="A760" t="str">
        <v>ATE/IO136/PWM_FR</v>
      </c>
      <c r="B760" t="str">
        <v>Targets/Controller/Custom Devices/FPGA Addon/Scalars/Scalar Inputs/PWM.In.IO136/FREQ</v>
      </c>
    </row>
    <row r="761" spans="1:2" x14ac:dyDescent="0.45">
      <c r="A761" t="str">
        <v>ATE/IO136/PWM_DC</v>
      </c>
      <c r="B761" t="str">
        <v>Targets/Controller/Custom Devices/FPGA Addon/Scalars/Scalar Inputs/PWM.In.IO136/DC</v>
      </c>
    </row>
    <row r="762" spans="1:2" x14ac:dyDescent="0.45">
      <c r="A762" t="str">
        <v>ATE/IO136/DI</v>
      </c>
      <c r="B762" t="str">
        <v>Targets/Controller/Custom Devices/FPGA Addon/Scalars/Scalar Inputs/DI.IO136/STATE</v>
      </c>
    </row>
    <row r="763" spans="1:2" x14ac:dyDescent="0.45">
      <c r="A763" t="str">
        <v>ATE/IO136/PWM_TIMEOUT</v>
      </c>
      <c r="B763" t="str">
        <v>Targets/Controller/Custom Devices/FPGA Addon/Scalars/Scalar Outputs/PWM.Set.IO136/TIMEOUT</v>
      </c>
    </row>
    <row r="764" spans="1:2" x14ac:dyDescent="0.45">
      <c r="A764" t="str">
        <v>None</v>
      </c>
      <c r="B764" t="str">
        <v>Targets/Controller/Hardware/SLSC/SLSC Chassis/Modules/Slot 7 (SLSC EDS)/Physical Channels/port0//line7/Properties/NI.Line.Direction</v>
      </c>
    </row>
    <row r="765" spans="1:2" x14ac:dyDescent="0.45">
      <c r="A765" t="str">
        <v>None</v>
      </c>
      <c r="B765" t="str">
        <v>Targets/Controller/Calculated Channels/ATE/IO136/AI</v>
      </c>
    </row>
    <row r="766" spans="1:2" x14ac:dyDescent="0.45">
      <c r="A766" t="str">
        <v>None</v>
      </c>
      <c r="B766" t="str">
        <v>Targets/Controller/Hardware/SLSC/SLSC Chassis/Modules/Slot 3 (SLSC EDS :: SLSC-12251)/Physical Channels/Channel_7</v>
      </c>
    </row>
    <row r="767" spans="1:2" x14ac:dyDescent="0.45">
      <c r="A767" t="str">
        <v>ATE/IO137/PWM_FR</v>
      </c>
      <c r="B767" t="str">
        <v>Targets/Controller/Custom Devices/FPGA Addon/Scalars/Scalar Inputs/PWM.In.IO137/FREQ</v>
      </c>
    </row>
    <row r="768" spans="1:2" x14ac:dyDescent="0.45">
      <c r="A768" t="str">
        <v>ATE/IO137/PWM_DC</v>
      </c>
      <c r="B768" t="str">
        <v>Targets/Controller/Custom Devices/FPGA Addon/Scalars/Scalar Inputs/PWM.In.IO137/DC</v>
      </c>
    </row>
    <row r="769" spans="1:2" x14ac:dyDescent="0.45">
      <c r="A769" t="str">
        <v>ATE/IO137/DI</v>
      </c>
      <c r="B769" t="str">
        <v>Targets/Controller/Custom Devices/FPGA Addon/Scalars/Scalar Inputs/DI.IO137/STATE</v>
      </c>
    </row>
    <row r="770" spans="1:2" x14ac:dyDescent="0.45">
      <c r="A770" t="str">
        <v>ATE/IO137/PWM_TIMEOUT</v>
      </c>
      <c r="B770" t="str">
        <v>Targets/Controller/Custom Devices/FPGA Addon/Scalars/Scalar Outputs/PWM.Set.IO137/TIMEOUT</v>
      </c>
    </row>
    <row r="771" spans="1:2" x14ac:dyDescent="0.45">
      <c r="A771" t="str">
        <v>None</v>
      </c>
      <c r="B771" t="str">
        <v>Targets/Controller/Hardware/SLSC/SLSC Chassis/Modules/Slot 7 (SLSC EDS)/Physical Channels/port1//line0/Properties/NI.Line.Direction</v>
      </c>
    </row>
    <row r="772" spans="1:2" x14ac:dyDescent="0.45">
      <c r="A772" t="str">
        <v>None</v>
      </c>
      <c r="B772" t="str">
        <v>Targets/Controller/Calculated Channels/ATE/IO137/AI</v>
      </c>
    </row>
    <row r="773" spans="1:2" x14ac:dyDescent="0.45">
      <c r="A773" t="str">
        <v>None</v>
      </c>
      <c r="B773" t="str">
        <v>Targets/Controller/Hardware/SLSC/SLSC Chassis/Modules/Slot 3 (SLSC EDS :: SLSC-12251)/Physical Channels/Channel_8</v>
      </c>
    </row>
    <row r="774" spans="1:2" x14ac:dyDescent="0.45">
      <c r="A774" t="str">
        <v>ATE/IO138/PWM_FR</v>
      </c>
      <c r="B774" t="str">
        <v>Targets/Controller/Custom Devices/FPGA Addon/Scalars/Scalar Inputs/PWM.In.IO138/FREQ</v>
      </c>
    </row>
    <row r="775" spans="1:2" x14ac:dyDescent="0.45">
      <c r="A775" t="str">
        <v>ATE/IO138/PWM_DC</v>
      </c>
      <c r="B775" t="str">
        <v>Targets/Controller/Custom Devices/FPGA Addon/Scalars/Scalar Inputs/PWM.In.IO138/DC</v>
      </c>
    </row>
    <row r="776" spans="1:2" x14ac:dyDescent="0.45">
      <c r="A776" t="str">
        <v>ATE/IO138/DI</v>
      </c>
      <c r="B776" t="str">
        <v>Targets/Controller/Custom Devices/FPGA Addon/Scalars/Scalar Inputs/DI.IO138/STATE</v>
      </c>
    </row>
    <row r="777" spans="1:2" x14ac:dyDescent="0.45">
      <c r="A777" t="str">
        <v>ATE/IO138/PWM_TIMEOUT</v>
      </c>
      <c r="B777" t="str">
        <v>Targets/Controller/Custom Devices/FPGA Addon/Scalars/Scalar Outputs/PWM.Set.IO138/TIMEOUT</v>
      </c>
    </row>
    <row r="778" spans="1:2" x14ac:dyDescent="0.45">
      <c r="A778" t="str">
        <v>None</v>
      </c>
      <c r="B778" t="str">
        <v>Targets/Controller/Hardware/SLSC/SLSC Chassis/Modules/Slot 7 (SLSC EDS)/Physical Channels/port1//line1/Properties/NI.Line.Direction</v>
      </c>
    </row>
    <row r="779" spans="1:2" x14ac:dyDescent="0.45">
      <c r="A779" t="str">
        <v>None</v>
      </c>
      <c r="B779" t="str">
        <v>Targets/Controller/Calculated Channels/ATE/IO138/AI</v>
      </c>
    </row>
    <row r="780" spans="1:2" x14ac:dyDescent="0.45">
      <c r="A780" t="str">
        <v>None</v>
      </c>
      <c r="B780" t="str">
        <v>Targets/Controller/Hardware/SLSC/SLSC Chassis/Modules/Slot 3 (SLSC EDS :: SLSC-12251)/Physical Channels/Channel_9</v>
      </c>
    </row>
    <row r="781" spans="1:2" x14ac:dyDescent="0.45">
      <c r="A781" t="str">
        <v>ATE/IO139/PWM_FR</v>
      </c>
      <c r="B781" t="str">
        <v>Targets/Controller/Custom Devices/FPGA Addon/Scalars/Scalar Inputs/PWM.In.IO139/FREQ</v>
      </c>
    </row>
    <row r="782" spans="1:2" x14ac:dyDescent="0.45">
      <c r="A782" t="str">
        <v>ATE/IO139/PWM_DC</v>
      </c>
      <c r="B782" t="str">
        <v>Targets/Controller/Custom Devices/FPGA Addon/Scalars/Scalar Inputs/PWM.In.IO139/DC</v>
      </c>
    </row>
    <row r="783" spans="1:2" x14ac:dyDescent="0.45">
      <c r="A783" t="str">
        <v>ATE/IO139/DI</v>
      </c>
      <c r="B783" t="str">
        <v>Targets/Controller/Custom Devices/FPGA Addon/Scalars/Scalar Inputs/DI.IO139/STATE</v>
      </c>
    </row>
    <row r="784" spans="1:2" x14ac:dyDescent="0.45">
      <c r="A784" t="str">
        <v>ATE/IO139/PWM_TIMEOUT</v>
      </c>
      <c r="B784" t="str">
        <v>Targets/Controller/Custom Devices/FPGA Addon/Scalars/Scalar Outputs/PWM.Set.IO139/TIMEOUT</v>
      </c>
    </row>
    <row r="785" spans="1:2" x14ac:dyDescent="0.45">
      <c r="A785" t="str">
        <v>None</v>
      </c>
      <c r="B785" t="str">
        <v>Targets/Controller/Hardware/SLSC/SLSC Chassis/Modules/Slot 7 (SLSC EDS)/Physical Channels/port1//line2/Properties/NI.Line.Direction</v>
      </c>
    </row>
    <row r="786" spans="1:2" x14ac:dyDescent="0.45">
      <c r="A786" t="str">
        <v>None</v>
      </c>
      <c r="B786" t="str">
        <v>Targets/Controller/Calculated Channels/ATE/IO139/AI</v>
      </c>
    </row>
    <row r="787" spans="1:2" x14ac:dyDescent="0.45">
      <c r="A787" t="str">
        <v>None</v>
      </c>
      <c r="B787" t="str">
        <v>Targets/Controller/Hardware/SLSC/SLSC Chassis/Modules/Slot 3 (SLSC EDS :: SLSC-12251)/Physical Channels/Channel_10</v>
      </c>
    </row>
    <row r="788" spans="1:2" x14ac:dyDescent="0.45">
      <c r="A788" t="str">
        <v>ATE/IO140/PWM_FR</v>
      </c>
      <c r="B788" t="str">
        <v>Targets/Controller/Custom Devices/FPGA Addon/Scalars/Scalar Inputs/PWM.In.IO140/FREQ</v>
      </c>
    </row>
    <row r="789" spans="1:2" x14ac:dyDescent="0.45">
      <c r="A789" t="str">
        <v>ATE/IO140/PWM_DC</v>
      </c>
      <c r="B789" t="str">
        <v>Targets/Controller/Custom Devices/FPGA Addon/Scalars/Scalar Inputs/PWM.In.IO140/DC</v>
      </c>
    </row>
    <row r="790" spans="1:2" x14ac:dyDescent="0.45">
      <c r="A790" t="str">
        <v>ATE/IO140/DI</v>
      </c>
      <c r="B790" t="str">
        <v>Targets/Controller/Custom Devices/FPGA Addon/Scalars/Scalar Inputs/DI.IO140/STATE</v>
      </c>
    </row>
    <row r="791" spans="1:2" x14ac:dyDescent="0.45">
      <c r="A791" t="str">
        <v>ATE/IO140/PWM_TIMEOUT</v>
      </c>
      <c r="B791" t="str">
        <v>Targets/Controller/Custom Devices/FPGA Addon/Scalars/Scalar Outputs/PWM.Set.IO140/TIMEOUT</v>
      </c>
    </row>
    <row r="792" spans="1:2" x14ac:dyDescent="0.45">
      <c r="A792" t="str">
        <v>None</v>
      </c>
      <c r="B792" t="str">
        <v>Targets/Controller/Hardware/SLSC/SLSC Chassis/Modules/Slot 7 (SLSC EDS)/Physical Channels/port1//line3/Properties/NI.Line.Direction</v>
      </c>
    </row>
    <row r="793" spans="1:2" x14ac:dyDescent="0.45">
      <c r="A793" t="str">
        <v>None</v>
      </c>
      <c r="B793" t="str">
        <v>Targets/Controller/Calculated Channels/ATE/IO140/AI</v>
      </c>
    </row>
    <row r="794" spans="1:2" x14ac:dyDescent="0.45">
      <c r="A794" t="str">
        <v>None</v>
      </c>
      <c r="B794" t="str">
        <v>Targets/Controller/Hardware/SLSC/SLSC Chassis/Modules/Slot 3 (SLSC EDS :: SLSC-12251)/Physical Channels/Channel_11</v>
      </c>
    </row>
    <row r="795" spans="1:2" x14ac:dyDescent="0.45">
      <c r="A795" t="str">
        <v>ATE/IO141/PWM_FR</v>
      </c>
      <c r="B795" t="str">
        <v>Targets/Controller/Custom Devices/FPGA Addon/Scalars/Scalar Inputs/PWM.In.IO141/FREQ</v>
      </c>
    </row>
    <row r="796" spans="1:2" x14ac:dyDescent="0.45">
      <c r="A796" t="str">
        <v>ATE/IO141/PWM_DC</v>
      </c>
      <c r="B796" t="str">
        <v>Targets/Controller/Custom Devices/FPGA Addon/Scalars/Scalar Inputs/PWM.In.IO141/DC</v>
      </c>
    </row>
    <row r="797" spans="1:2" x14ac:dyDescent="0.45">
      <c r="A797" t="str">
        <v>ATE/IO141/DI</v>
      </c>
      <c r="B797" t="str">
        <v>Targets/Controller/Custom Devices/FPGA Addon/Scalars/Scalar Inputs/DI.IO141/STATE</v>
      </c>
    </row>
    <row r="798" spans="1:2" x14ac:dyDescent="0.45">
      <c r="A798" t="str">
        <v>ATE/IO141/PWM_TIMEOUT</v>
      </c>
      <c r="B798" t="str">
        <v>Targets/Controller/Custom Devices/FPGA Addon/Scalars/Scalar Outputs/PWM.Set.IO141/TIMEOUT</v>
      </c>
    </row>
    <row r="799" spans="1:2" x14ac:dyDescent="0.45">
      <c r="A799" t="str">
        <v>None</v>
      </c>
      <c r="B799" t="str">
        <v>Targets/Controller/Hardware/SLSC/SLSC Chassis/Modules/Slot 7 (SLSC EDS)/Physical Channels/port1//line4/Properties/NI.Line.Direction</v>
      </c>
    </row>
    <row r="800" spans="1:2" x14ac:dyDescent="0.45">
      <c r="A800" t="str">
        <v>None</v>
      </c>
      <c r="B800" t="str">
        <v>Targets/Controller/Calculated Channels/ATE/IO141/AI</v>
      </c>
    </row>
    <row r="801" spans="1:2" x14ac:dyDescent="0.45">
      <c r="A801" t="str">
        <v>None</v>
      </c>
      <c r="B801" t="str">
        <v>Targets/Controller/Hardware/SLSC/SLSC Chassis/Modules/Slot 3 (SLSC EDS :: SLSC-12251)/Physical Channels/Channel_12</v>
      </c>
    </row>
    <row r="802" spans="1:2" x14ac:dyDescent="0.45">
      <c r="A802" t="str">
        <v>ATE/IO142/PWM_FR</v>
      </c>
      <c r="B802" t="str">
        <v>Targets/Controller/Custom Devices/FPGA Addon/Scalars/Scalar Inputs/PWM.In.IO142/FREQ</v>
      </c>
    </row>
    <row r="803" spans="1:2" x14ac:dyDescent="0.45">
      <c r="A803" t="str">
        <v>ATE/IO142/PWM_DC</v>
      </c>
      <c r="B803" t="str">
        <v>Targets/Controller/Custom Devices/FPGA Addon/Scalars/Scalar Inputs/PWM.In.IO142/DC</v>
      </c>
    </row>
    <row r="804" spans="1:2" x14ac:dyDescent="0.45">
      <c r="A804" t="str">
        <v>ATE/IO142/DI</v>
      </c>
      <c r="B804" t="str">
        <v>Targets/Controller/Custom Devices/FPGA Addon/Scalars/Scalar Inputs/DI.IO142/STATE</v>
      </c>
    </row>
    <row r="805" spans="1:2" x14ac:dyDescent="0.45">
      <c r="A805" t="str">
        <v>ATE/IO142/PWM_TIMEOUT</v>
      </c>
      <c r="B805" t="str">
        <v>Targets/Controller/Custom Devices/FPGA Addon/Scalars/Scalar Outputs/PWM.Set.IO142/TIMEOUT</v>
      </c>
    </row>
    <row r="806" spans="1:2" x14ac:dyDescent="0.45">
      <c r="A806" t="str">
        <v>None</v>
      </c>
      <c r="B806" t="str">
        <v>Targets/Controller/Hardware/SLSC/SLSC Chassis/Modules/Slot 7 (SLSC EDS)/Physical Channels/port1//line5/Properties/NI.Line.Direction</v>
      </c>
    </row>
    <row r="807" spans="1:2" x14ac:dyDescent="0.45">
      <c r="A807" t="str">
        <v>None</v>
      </c>
      <c r="B807" t="str">
        <v>Targets/Controller/Calculated Channels/ATE/IO142/AI</v>
      </c>
    </row>
    <row r="808" spans="1:2" x14ac:dyDescent="0.45">
      <c r="A808" t="str">
        <v>None</v>
      </c>
      <c r="B808" t="str">
        <v>Targets/Controller/Hardware/SLSC/SLSC Chassis/Modules/Slot 3 (SLSC EDS :: SLSC-12251)/Physical Channels/Channel_13</v>
      </c>
    </row>
    <row r="809" spans="1:2" x14ac:dyDescent="0.45">
      <c r="A809" t="str">
        <v>ATE/IO143/PWM_FR</v>
      </c>
      <c r="B809" t="str">
        <v>Targets/Controller/Custom Devices/FPGA Addon/Scalars/Scalar Inputs/PWM.In.IO143/FREQ</v>
      </c>
    </row>
    <row r="810" spans="1:2" x14ac:dyDescent="0.45">
      <c r="A810" t="str">
        <v>ATE/IO143/PWM_DC</v>
      </c>
      <c r="B810" t="str">
        <v>Targets/Controller/Custom Devices/FPGA Addon/Scalars/Scalar Inputs/PWM.In.IO143/DC</v>
      </c>
    </row>
    <row r="811" spans="1:2" x14ac:dyDescent="0.45">
      <c r="A811" t="str">
        <v>ATE/IO143/DI</v>
      </c>
      <c r="B811" t="str">
        <v>Targets/Controller/Custom Devices/FPGA Addon/Scalars/Scalar Inputs/DI.IO143/STATE</v>
      </c>
    </row>
    <row r="812" spans="1:2" x14ac:dyDescent="0.45">
      <c r="A812" t="str">
        <v>ATE/IO143/PWM_TIMEOUT</v>
      </c>
      <c r="B812" t="str">
        <v>Targets/Controller/Custom Devices/FPGA Addon/Scalars/Scalar Outputs/PWM.Set.IO143/TIMEOUT</v>
      </c>
    </row>
    <row r="813" spans="1:2" x14ac:dyDescent="0.45">
      <c r="A813" t="str">
        <v>None</v>
      </c>
      <c r="B813" t="str">
        <v>Targets/Controller/Hardware/SLSC/SLSC Chassis/Modules/Slot 7 (SLSC EDS)/Physical Channels/port1//line6/Properties/NI.Line.Direction</v>
      </c>
    </row>
    <row r="814" spans="1:2" x14ac:dyDescent="0.45">
      <c r="A814" t="str">
        <v>None</v>
      </c>
      <c r="B814" t="str">
        <v>Targets/Controller/Calculated Channels/ATE/IO143/AI</v>
      </c>
    </row>
    <row r="815" spans="1:2" x14ac:dyDescent="0.45">
      <c r="A815" t="str">
        <v>None</v>
      </c>
      <c r="B815" t="str">
        <v>Targets/Controller/Hardware/SLSC/SLSC Chassis/Modules/Slot 3 (SLSC EDS :: SLSC-12251)/Physical Channels/Channel_14</v>
      </c>
    </row>
    <row r="816" spans="1:2" x14ac:dyDescent="0.45">
      <c r="A816" t="str">
        <v>ATE/IO144/PWM_FR</v>
      </c>
      <c r="B816" t="str">
        <v>Targets/Controller/Custom Devices/FPGA Addon/Scalars/Scalar Inputs/PWM.In.IO144/FREQ</v>
      </c>
    </row>
    <row r="817" spans="1:2" x14ac:dyDescent="0.45">
      <c r="A817" t="str">
        <v>ATE/IO144/PWM_DC</v>
      </c>
      <c r="B817" t="str">
        <v>Targets/Controller/Custom Devices/FPGA Addon/Scalars/Scalar Inputs/PWM.In.IO144/DC</v>
      </c>
    </row>
    <row r="818" spans="1:2" x14ac:dyDescent="0.45">
      <c r="A818" t="str">
        <v>ATE/IO144/DI</v>
      </c>
      <c r="B818" t="str">
        <v>Targets/Controller/Custom Devices/FPGA Addon/Scalars/Scalar Inputs/DI.IO144/STATE</v>
      </c>
    </row>
    <row r="819" spans="1:2" x14ac:dyDescent="0.45">
      <c r="A819" t="str">
        <v>ATE/IO144/PWM_TIMEOUT</v>
      </c>
      <c r="B819" t="str">
        <v>Targets/Controller/Custom Devices/FPGA Addon/Scalars/Scalar Outputs/PWM.Set.IO144/TIMEOUT</v>
      </c>
    </row>
    <row r="820" spans="1:2" x14ac:dyDescent="0.45">
      <c r="A820" t="str">
        <v>None</v>
      </c>
      <c r="B820" t="str">
        <v>Targets/Controller/Hardware/SLSC/SLSC Chassis/Modules/Slot 7 (SLSC EDS)/Physical Channels/port1//line7/Properties/NI.Line.Direction</v>
      </c>
    </row>
    <row r="821" spans="1:2" x14ac:dyDescent="0.45">
      <c r="A821" t="str">
        <v>None</v>
      </c>
      <c r="B821" t="str">
        <v>Targets/Controller/Calculated Channels/ATE/IO144/AI</v>
      </c>
    </row>
    <row r="822" spans="1:2" x14ac:dyDescent="0.45">
      <c r="A822" t="str">
        <v>None</v>
      </c>
      <c r="B822" t="str">
        <v>Targets/Controller/Hardware/SLSC/SLSC Chassis/Modules/Slot 3 (SLSC EDS :: SLSC-12251)/Physical Channels/Channel_15</v>
      </c>
    </row>
    <row r="823" spans="1:2" x14ac:dyDescent="0.45">
      <c r="A823" t="str">
        <v>ATE/IO145/PWM_FR</v>
      </c>
      <c r="B823" t="str">
        <v>Targets/Controller/Custom Devices/FPGA Addon/Scalars/Scalar Inputs/PWM.In.IO145/FREQ</v>
      </c>
    </row>
    <row r="824" spans="1:2" x14ac:dyDescent="0.45">
      <c r="A824" t="str">
        <v>ATE/IO145/PWM_DC</v>
      </c>
      <c r="B824" t="str">
        <v>Targets/Controller/Custom Devices/FPGA Addon/Scalars/Scalar Inputs/PWM.In.IO145/DC</v>
      </c>
    </row>
    <row r="825" spans="1:2" x14ac:dyDescent="0.45">
      <c r="A825" t="str">
        <v>ATE/IO145/DI</v>
      </c>
      <c r="B825" t="str">
        <v>Targets/Controller/Custom Devices/FPGA Addon/Scalars/Scalar Inputs/DI.IO145/STATE</v>
      </c>
    </row>
    <row r="826" spans="1:2" x14ac:dyDescent="0.45">
      <c r="A826" t="str">
        <v>ATE/IO145/PWM_TIMEOUT</v>
      </c>
      <c r="B826" t="str">
        <v>Targets/Controller/Custom Devices/FPGA Addon/Scalars/Scalar Outputs/PWM.Set.IO145/TIMEOUT</v>
      </c>
    </row>
    <row r="827" spans="1:2" x14ac:dyDescent="0.45">
      <c r="A827" t="str">
        <v>None</v>
      </c>
      <c r="B827" t="str">
        <v>Targets/Controller/Hardware/SLSC/SLSC Chassis/Modules/Slot 7 (SLSC EDS)/Physical Channels/port2//line0/Properties/NI.Line.Direction</v>
      </c>
    </row>
    <row r="828" spans="1:2" x14ac:dyDescent="0.45">
      <c r="A828" t="str">
        <v>None</v>
      </c>
      <c r="B828" t="str">
        <v>Targets/Controller/Calculated Channels/ATE/IO145/AI</v>
      </c>
    </row>
    <row r="829" spans="1:2" x14ac:dyDescent="0.45">
      <c r="A829" t="str">
        <v>None</v>
      </c>
      <c r="B829" t="str">
        <v>Targets/Controller/Hardware/SLSC/SLSC Chassis/Modules/Slot 4 (SLSC EDS :: SLSC-12251)/Physical Channels/Channel_0</v>
      </c>
    </row>
    <row r="830" spans="1:2" x14ac:dyDescent="0.45">
      <c r="A830" t="str">
        <v>ATE/IO146/PWM_FR</v>
      </c>
      <c r="B830" t="str">
        <v>Targets/Controller/Custom Devices/FPGA Addon/Scalars/Scalar Inputs/PWM.In.IO146/FREQ</v>
      </c>
    </row>
    <row r="831" spans="1:2" x14ac:dyDescent="0.45">
      <c r="A831" t="str">
        <v>ATE/IO146/PWM_DC</v>
      </c>
      <c r="B831" t="str">
        <v>Targets/Controller/Custom Devices/FPGA Addon/Scalars/Scalar Inputs/PWM.In.IO146/DC</v>
      </c>
    </row>
    <row r="832" spans="1:2" x14ac:dyDescent="0.45">
      <c r="A832" t="str">
        <v>ATE/IO146/DI</v>
      </c>
      <c r="B832" t="str">
        <v>Targets/Controller/Custom Devices/FPGA Addon/Scalars/Scalar Inputs/DI.IO146/STATE</v>
      </c>
    </row>
    <row r="833" spans="1:2" x14ac:dyDescent="0.45">
      <c r="A833" t="str">
        <v>ATE/IO146/PWM_TIMEOUT</v>
      </c>
      <c r="B833" t="str">
        <v>Targets/Controller/Custom Devices/FPGA Addon/Scalars/Scalar Outputs/PWM.Set.IO146/TIMEOUT</v>
      </c>
    </row>
    <row r="834" spans="1:2" x14ac:dyDescent="0.45">
      <c r="A834" t="str">
        <v>None</v>
      </c>
      <c r="B834" t="str">
        <v>Targets/Controller/Hardware/SLSC/SLSC Chassis/Modules/Slot 7 (SLSC EDS)/Physical Channels/port2//line1/Properties/NI.Line.Direction</v>
      </c>
    </row>
    <row r="835" spans="1:2" x14ac:dyDescent="0.45">
      <c r="A835" t="str">
        <v>None</v>
      </c>
      <c r="B835" t="str">
        <v>Targets/Controller/Calculated Channels/ATE/IO146/AI</v>
      </c>
    </row>
    <row r="836" spans="1:2" x14ac:dyDescent="0.45">
      <c r="A836" t="str">
        <v>None</v>
      </c>
      <c r="B836" t="str">
        <v>Targets/Controller/Hardware/SLSC/SLSC Chassis/Modules/Slot 4 (SLSC EDS :: SLSC-12251)/Physical Channels/Channel_1</v>
      </c>
    </row>
    <row r="837" spans="1:2" x14ac:dyDescent="0.45">
      <c r="A837" t="str">
        <v>ATE/IO147/PWM_FR</v>
      </c>
      <c r="B837" t="str">
        <v>Targets/Controller/Custom Devices/FPGA Addon/Scalars/Scalar Inputs/PWM.In.IO147/FREQ</v>
      </c>
    </row>
    <row r="838" spans="1:2" x14ac:dyDescent="0.45">
      <c r="A838" t="str">
        <v>ATE/IO147/PWM_DC</v>
      </c>
      <c r="B838" t="str">
        <v>Targets/Controller/Custom Devices/FPGA Addon/Scalars/Scalar Inputs/PWM.In.IO147/DC</v>
      </c>
    </row>
    <row r="839" spans="1:2" x14ac:dyDescent="0.45">
      <c r="A839" t="str">
        <v>ATE/IO147/DI</v>
      </c>
      <c r="B839" t="str">
        <v>Targets/Controller/Custom Devices/FPGA Addon/Scalars/Scalar Inputs/DI.IO147/STATE</v>
      </c>
    </row>
    <row r="840" spans="1:2" x14ac:dyDescent="0.45">
      <c r="A840" t="str">
        <v>ATE/IO147/PWM_TIMEOUT</v>
      </c>
      <c r="B840" t="str">
        <v>Targets/Controller/Custom Devices/FPGA Addon/Scalars/Scalar Outputs/PWM.Set.IO147/TIMEOUT</v>
      </c>
    </row>
    <row r="841" spans="1:2" x14ac:dyDescent="0.45">
      <c r="A841" t="str">
        <v>None</v>
      </c>
      <c r="B841" t="str">
        <v>Targets/Controller/Hardware/SLSC/SLSC Chassis/Modules/Slot 7 (SLSC EDS)/Physical Channels/port2//line2/Properties/NI.Line.Direction</v>
      </c>
    </row>
    <row r="842" spans="1:2" x14ac:dyDescent="0.45">
      <c r="A842" t="str">
        <v>None</v>
      </c>
      <c r="B842" t="str">
        <v>Targets/Controller/Calculated Channels/ATE/IO147/AI</v>
      </c>
    </row>
    <row r="843" spans="1:2" x14ac:dyDescent="0.45">
      <c r="A843" t="str">
        <v>None</v>
      </c>
      <c r="B843" t="str">
        <v>Targets/Controller/Hardware/SLSC/SLSC Chassis/Modules/Slot 4 (SLSC EDS :: SLSC-12251)/Physical Channels/Channel_2</v>
      </c>
    </row>
    <row r="844" spans="1:2" x14ac:dyDescent="0.45">
      <c r="A844" t="str">
        <v>ATE/IO148/PWM_FR</v>
      </c>
      <c r="B844" t="str">
        <v>Targets/Controller/Custom Devices/FPGA Addon/Scalars/Scalar Inputs/PWM.In.IO148/FREQ</v>
      </c>
    </row>
    <row r="845" spans="1:2" x14ac:dyDescent="0.45">
      <c r="A845" t="str">
        <v>ATE/IO148/PWM_DC</v>
      </c>
      <c r="B845" t="str">
        <v>Targets/Controller/Custom Devices/FPGA Addon/Scalars/Scalar Inputs/PWM.In.IO148/DC</v>
      </c>
    </row>
    <row r="846" spans="1:2" x14ac:dyDescent="0.45">
      <c r="A846" t="str">
        <v>ATE/IO148/DI</v>
      </c>
      <c r="B846" t="str">
        <v>Targets/Controller/Custom Devices/FPGA Addon/Scalars/Scalar Inputs/DI.IO148/STATE</v>
      </c>
    </row>
    <row r="847" spans="1:2" x14ac:dyDescent="0.45">
      <c r="A847" t="str">
        <v>ATE/IO148/PWM_TIMEOUT</v>
      </c>
      <c r="B847" t="str">
        <v>Targets/Controller/Custom Devices/FPGA Addon/Scalars/Scalar Outputs/PWM.Set.IO148/TIMEOUT</v>
      </c>
    </row>
    <row r="848" spans="1:2" x14ac:dyDescent="0.45">
      <c r="A848" t="str">
        <v>None</v>
      </c>
      <c r="B848" t="str">
        <v>Targets/Controller/Hardware/SLSC/SLSC Chassis/Modules/Slot 7 (SLSC EDS)/Physical Channels/port2//line3/Properties/NI.Line.Direction</v>
      </c>
    </row>
    <row r="849" spans="1:2" x14ac:dyDescent="0.45">
      <c r="A849" t="str">
        <v>None</v>
      </c>
      <c r="B849" t="str">
        <v>Targets/Controller/Calculated Channels/ATE/IO148/AI</v>
      </c>
    </row>
    <row r="850" spans="1:2" x14ac:dyDescent="0.45">
      <c r="A850" t="str">
        <v>None</v>
      </c>
      <c r="B850" t="str">
        <v>Targets/Controller/Hardware/SLSC/SLSC Chassis/Modules/Slot 4 (SLSC EDS :: SLSC-12251)/Physical Channels/Channel_3</v>
      </c>
    </row>
    <row r="851" spans="1:2" x14ac:dyDescent="0.45">
      <c r="A851" t="str">
        <v>ATE/IO149/PWM_FR</v>
      </c>
      <c r="B851" t="str">
        <v>Targets/Controller/Custom Devices/FPGA Addon/Scalars/Scalar Inputs/PWM.In.IO149/FREQ</v>
      </c>
    </row>
    <row r="852" spans="1:2" x14ac:dyDescent="0.45">
      <c r="A852" t="str">
        <v>ATE/IO149/PWM_DC</v>
      </c>
      <c r="B852" t="str">
        <v>Targets/Controller/Custom Devices/FPGA Addon/Scalars/Scalar Inputs/PWM.In.IO149/DC</v>
      </c>
    </row>
    <row r="853" spans="1:2" x14ac:dyDescent="0.45">
      <c r="A853" t="str">
        <v>ATE/IO149/DI</v>
      </c>
      <c r="B853" t="str">
        <v>Targets/Controller/Custom Devices/FPGA Addon/Scalars/Scalar Inputs/DI.IO149/STATE</v>
      </c>
    </row>
    <row r="854" spans="1:2" x14ac:dyDescent="0.45">
      <c r="A854" t="str">
        <v>ATE/IO149/PWM_TIMEOUT</v>
      </c>
      <c r="B854" t="str">
        <v>Targets/Controller/Custom Devices/FPGA Addon/Scalars/Scalar Outputs/PWM.Set.IO149/TIMEOUT</v>
      </c>
    </row>
    <row r="855" spans="1:2" x14ac:dyDescent="0.45">
      <c r="A855" t="str">
        <v>None</v>
      </c>
      <c r="B855" t="str">
        <v>Targets/Controller/Hardware/SLSC/SLSC Chassis/Modules/Slot 7 (SLSC EDS)/Physical Channels/port2//line4/Properties/NI.Line.Direction</v>
      </c>
    </row>
    <row r="856" spans="1:2" x14ac:dyDescent="0.45">
      <c r="A856" t="str">
        <v>None</v>
      </c>
      <c r="B856" t="str">
        <v>Targets/Controller/Calculated Channels/ATE/IO149/AI</v>
      </c>
    </row>
    <row r="857" spans="1:2" x14ac:dyDescent="0.45">
      <c r="A857" t="str">
        <v>None</v>
      </c>
      <c r="B857" t="str">
        <v>Targets/Controller/Hardware/SLSC/SLSC Chassis/Modules/Slot 4 (SLSC EDS :: SLSC-12251)/Physical Channels/Channel_4</v>
      </c>
    </row>
    <row r="858" spans="1:2" x14ac:dyDescent="0.45">
      <c r="A858" t="str">
        <v>ATE/IO150/PWM_FR</v>
      </c>
      <c r="B858" t="str">
        <v>Targets/Controller/Custom Devices/FPGA Addon/Scalars/Scalar Inputs/PWM.In.IO150/FREQ</v>
      </c>
    </row>
    <row r="859" spans="1:2" x14ac:dyDescent="0.45">
      <c r="A859" t="str">
        <v>ATE/IO150/PWM_DC</v>
      </c>
      <c r="B859" t="str">
        <v>Targets/Controller/Custom Devices/FPGA Addon/Scalars/Scalar Inputs/PWM.In.IO150/DC</v>
      </c>
    </row>
    <row r="860" spans="1:2" x14ac:dyDescent="0.45">
      <c r="A860" t="str">
        <v>ATE/IO150/DI</v>
      </c>
      <c r="B860" t="str">
        <v>Targets/Controller/Custom Devices/FPGA Addon/Scalars/Scalar Inputs/DI.IO150/STATE</v>
      </c>
    </row>
    <row r="861" spans="1:2" x14ac:dyDescent="0.45">
      <c r="A861" t="str">
        <v>ATE/IO150/PWM_TIMEOUT</v>
      </c>
      <c r="B861" t="str">
        <v>Targets/Controller/Custom Devices/FPGA Addon/Scalars/Scalar Outputs/PWM.Set.IO150/TIMEOUT</v>
      </c>
    </row>
    <row r="862" spans="1:2" x14ac:dyDescent="0.45">
      <c r="A862" t="str">
        <v>None</v>
      </c>
      <c r="B862" t="str">
        <v>Targets/Controller/Hardware/SLSC/SLSC Chassis/Modules/Slot 7 (SLSC EDS)/Physical Channels/port2//line5/Properties/NI.Line.Direction</v>
      </c>
    </row>
    <row r="863" spans="1:2" x14ac:dyDescent="0.45">
      <c r="A863" t="str">
        <v>None</v>
      </c>
      <c r="B863" t="str">
        <v>Targets/Controller/Calculated Channels/ATE/IO150/AI</v>
      </c>
    </row>
    <row r="864" spans="1:2" x14ac:dyDescent="0.45">
      <c r="A864" t="str">
        <v>None</v>
      </c>
      <c r="B864" t="str">
        <v>Targets/Controller/Hardware/SLSC/SLSC Chassis/Modules/Slot 4 (SLSC EDS :: SLSC-12251)/Physical Channels/Channel_5</v>
      </c>
    </row>
    <row r="865" spans="1:2" x14ac:dyDescent="0.45">
      <c r="A865" t="str">
        <v>ATE/IO151/PWM_FR</v>
      </c>
      <c r="B865" t="str">
        <v>Targets/Controller/Custom Devices/FPGA Addon/Scalars/Scalar Inputs/PWM.In.IO151/FREQ</v>
      </c>
    </row>
    <row r="866" spans="1:2" x14ac:dyDescent="0.45">
      <c r="A866" t="str">
        <v>ATE/IO151/PWM_DC</v>
      </c>
      <c r="B866" t="str">
        <v>Targets/Controller/Custom Devices/FPGA Addon/Scalars/Scalar Inputs/PWM.In.IO151/DC</v>
      </c>
    </row>
    <row r="867" spans="1:2" x14ac:dyDescent="0.45">
      <c r="A867" t="str">
        <v>ATE/IO151/DI</v>
      </c>
      <c r="B867" t="str">
        <v>Targets/Controller/Custom Devices/FPGA Addon/Scalars/Scalar Inputs/DI.IO151/STATE</v>
      </c>
    </row>
    <row r="868" spans="1:2" x14ac:dyDescent="0.45">
      <c r="A868" t="str">
        <v>ATE/IO151/PWM_TIMEOUT</v>
      </c>
      <c r="B868" t="str">
        <v>Targets/Controller/Custom Devices/FPGA Addon/Scalars/Scalar Outputs/PWM.Set.IO151/TIMEOUT</v>
      </c>
    </row>
    <row r="869" spans="1:2" x14ac:dyDescent="0.45">
      <c r="A869" t="str">
        <v>None</v>
      </c>
      <c r="B869" t="str">
        <v>Targets/Controller/Hardware/SLSC/SLSC Chassis/Modules/Slot 7 (SLSC EDS)/Physical Channels/port2//line6/Properties/NI.Line.Direction</v>
      </c>
    </row>
    <row r="870" spans="1:2" x14ac:dyDescent="0.45">
      <c r="A870" t="str">
        <v>None</v>
      </c>
      <c r="B870" t="str">
        <v>Targets/Controller/Calculated Channels/ATE/IO151/AI</v>
      </c>
    </row>
    <row r="871" spans="1:2" x14ac:dyDescent="0.45">
      <c r="A871" t="str">
        <v>None</v>
      </c>
      <c r="B871" t="str">
        <v>Targets/Controller/Hardware/SLSC/SLSC Chassis/Modules/Slot 4 (SLSC EDS :: SLSC-12251)/Physical Channels/Channel_6</v>
      </c>
    </row>
    <row r="872" spans="1:2" x14ac:dyDescent="0.45">
      <c r="A872" t="str">
        <v>ATE/IO152/PWM_FR</v>
      </c>
      <c r="B872" t="str">
        <v>Targets/Controller/Custom Devices/FPGA Addon/Scalars/Scalar Inputs/PWM.In.IO152/FREQ</v>
      </c>
    </row>
    <row r="873" spans="1:2" x14ac:dyDescent="0.45">
      <c r="A873" t="str">
        <v>ATE/IO152/PWM_DC</v>
      </c>
      <c r="B873" t="str">
        <v>Targets/Controller/Custom Devices/FPGA Addon/Scalars/Scalar Inputs/PWM.In.IO152/DC</v>
      </c>
    </row>
    <row r="874" spans="1:2" x14ac:dyDescent="0.45">
      <c r="A874" t="str">
        <v>ATE/IO152/DI</v>
      </c>
      <c r="B874" t="str">
        <v>Targets/Controller/Custom Devices/FPGA Addon/Scalars/Scalar Inputs/DI.IO152/STATE</v>
      </c>
    </row>
    <row r="875" spans="1:2" x14ac:dyDescent="0.45">
      <c r="A875" t="str">
        <v>ATE/IO152/PWM_TIMEOUT</v>
      </c>
      <c r="B875" t="str">
        <v>Targets/Controller/Custom Devices/FPGA Addon/Scalars/Scalar Outputs/PWM.Set.IO152/TIMEOUT</v>
      </c>
    </row>
    <row r="876" spans="1:2" x14ac:dyDescent="0.45">
      <c r="A876" t="str">
        <v>None</v>
      </c>
      <c r="B876" t="str">
        <v>Targets/Controller/Hardware/SLSC/SLSC Chassis/Modules/Slot 7 (SLSC EDS)/Physical Channels/port2//line7/Properties/NI.Line.Direction</v>
      </c>
    </row>
    <row r="877" spans="1:2" x14ac:dyDescent="0.45">
      <c r="A877" t="str">
        <v>None</v>
      </c>
      <c r="B877" t="str">
        <v>Targets/Controller/Calculated Channels/ATE/IO152/AI</v>
      </c>
    </row>
    <row r="878" spans="1:2" x14ac:dyDescent="0.45">
      <c r="A878" t="str">
        <v>None</v>
      </c>
      <c r="B878" t="str">
        <v>Targets/Controller/Hardware/SLSC/SLSC Chassis/Modules/Slot 4 (SLSC EDS :: SLSC-12251)/Physical Channels/Channel_7</v>
      </c>
    </row>
    <row r="879" spans="1:2" x14ac:dyDescent="0.45">
      <c r="A879" t="str">
        <v>ATE/IO153/PWM_FR</v>
      </c>
      <c r="B879" t="str">
        <v>Targets/Controller/Custom Devices/FPGA Addon/Scalars/Scalar Inputs/PWM.In.IO153/FREQ</v>
      </c>
    </row>
    <row r="880" spans="1:2" x14ac:dyDescent="0.45">
      <c r="A880" t="str">
        <v>ATE/IO153/PWM_DC</v>
      </c>
      <c r="B880" t="str">
        <v>Targets/Controller/Custom Devices/FPGA Addon/Scalars/Scalar Inputs/PWM.In.IO153/DC</v>
      </c>
    </row>
    <row r="881" spans="1:2" x14ac:dyDescent="0.45">
      <c r="A881" t="str">
        <v>ATE/IO153/DI</v>
      </c>
      <c r="B881" t="str">
        <v>Targets/Controller/Custom Devices/FPGA Addon/Scalars/Scalar Inputs/DI.IO153/STATE</v>
      </c>
    </row>
    <row r="882" spans="1:2" x14ac:dyDescent="0.45">
      <c r="A882" t="str">
        <v>ATE/IO153/PWM_TIMEOUT</v>
      </c>
      <c r="B882" t="str">
        <v>Targets/Controller/Custom Devices/FPGA Addon/Scalars/Scalar Outputs/PWM.Set.IO153/TIMEOUT</v>
      </c>
    </row>
    <row r="883" spans="1:2" x14ac:dyDescent="0.45">
      <c r="A883" t="str">
        <v>None</v>
      </c>
      <c r="B883" t="str">
        <v>Targets/Controller/Hardware/SLSC/SLSC Chassis/Modules/Slot 7 (SLSC EDS)/Physical Channels/port3//line0/Properties/NI.Line.Direction</v>
      </c>
    </row>
    <row r="884" spans="1:2" x14ac:dyDescent="0.45">
      <c r="A884" t="str">
        <v>None</v>
      </c>
      <c r="B884" t="str">
        <v>Targets/Controller/Calculated Channels/ATE/IO153/AI</v>
      </c>
    </row>
    <row r="885" spans="1:2" x14ac:dyDescent="0.45">
      <c r="A885" t="str">
        <v>None</v>
      </c>
      <c r="B885" t="str">
        <v>Targets/Controller/Hardware/SLSC/SLSC Chassis/Modules/Slot 4 (SLSC EDS :: SLSC-12251)/Physical Channels/Channel_8</v>
      </c>
    </row>
    <row r="886" spans="1:2" x14ac:dyDescent="0.45">
      <c r="A886" t="str">
        <v>ATE/IO154/PWM_FR</v>
      </c>
      <c r="B886" t="str">
        <v>Targets/Controller/Custom Devices/FPGA Addon/Scalars/Scalar Inputs/PWM.In.IO154/FREQ</v>
      </c>
    </row>
    <row r="887" spans="1:2" x14ac:dyDescent="0.45">
      <c r="A887" t="str">
        <v>ATE/IO154/PWM_DC</v>
      </c>
      <c r="B887" t="str">
        <v>Targets/Controller/Custom Devices/FPGA Addon/Scalars/Scalar Inputs/PWM.In.IO154/DC</v>
      </c>
    </row>
    <row r="888" spans="1:2" x14ac:dyDescent="0.45">
      <c r="A888" t="str">
        <v>ATE/IO154/DI</v>
      </c>
      <c r="B888" t="str">
        <v>Targets/Controller/Custom Devices/FPGA Addon/Scalars/Scalar Inputs/DI.IO154/STATE</v>
      </c>
    </row>
    <row r="889" spans="1:2" x14ac:dyDescent="0.45">
      <c r="A889" t="str">
        <v>ATE/IO154/PWM_TIMEOUT</v>
      </c>
      <c r="B889" t="str">
        <v>Targets/Controller/Custom Devices/FPGA Addon/Scalars/Scalar Outputs/PWM.Set.IO154/TIMEOUT</v>
      </c>
    </row>
    <row r="890" spans="1:2" x14ac:dyDescent="0.45">
      <c r="A890" t="str">
        <v>None</v>
      </c>
      <c r="B890" t="str">
        <v>Targets/Controller/Hardware/SLSC/SLSC Chassis/Modules/Slot 7 (SLSC EDS)/Physical Channels/port3//line1/Properties/NI.Line.Direction</v>
      </c>
    </row>
    <row r="891" spans="1:2" x14ac:dyDescent="0.45">
      <c r="A891" t="str">
        <v>None</v>
      </c>
      <c r="B891" t="str">
        <v>Targets/Controller/Calculated Channels/ATE/IO154/AI</v>
      </c>
    </row>
    <row r="892" spans="1:2" x14ac:dyDescent="0.45">
      <c r="A892" t="str">
        <v>None</v>
      </c>
      <c r="B892" t="str">
        <v>Targets/Controller/Hardware/SLSC/SLSC Chassis/Modules/Slot 4 (SLSC EDS :: SLSC-12251)/Physical Channels/Channel_9</v>
      </c>
    </row>
    <row r="893" spans="1:2" x14ac:dyDescent="0.45">
      <c r="A893" t="str">
        <v>ATE/IO155/PWM_FR</v>
      </c>
      <c r="B893" t="str">
        <v>Targets/Controller/Custom Devices/FPGA Addon/Scalars/Scalar Inputs/PWM.In.IO155/FREQ</v>
      </c>
    </row>
    <row r="894" spans="1:2" x14ac:dyDescent="0.45">
      <c r="A894" t="str">
        <v>ATE/IO155/PWM_DC</v>
      </c>
      <c r="B894" t="str">
        <v>Targets/Controller/Custom Devices/FPGA Addon/Scalars/Scalar Inputs/PWM.In.IO155/DC</v>
      </c>
    </row>
    <row r="895" spans="1:2" x14ac:dyDescent="0.45">
      <c r="A895" t="str">
        <v>ATE/IO155/DI</v>
      </c>
      <c r="B895" t="str">
        <v>Targets/Controller/Custom Devices/FPGA Addon/Scalars/Scalar Inputs/DI.IO155/STATE</v>
      </c>
    </row>
    <row r="896" spans="1:2" x14ac:dyDescent="0.45">
      <c r="A896" t="str">
        <v>ATE/IO155/PWM_TIMEOUT</v>
      </c>
      <c r="B896" t="str">
        <v>Targets/Controller/Custom Devices/FPGA Addon/Scalars/Scalar Outputs/PWM.Set.IO155/TIMEOUT</v>
      </c>
    </row>
    <row r="897" spans="1:2" x14ac:dyDescent="0.45">
      <c r="A897" t="str">
        <v>None</v>
      </c>
      <c r="B897" t="str">
        <v>Targets/Controller/Hardware/SLSC/SLSC Chassis/Modules/Slot 7 (SLSC EDS)/Physical Channels/port3//line2/Properties/NI.Line.Direction</v>
      </c>
    </row>
    <row r="898" spans="1:2" x14ac:dyDescent="0.45">
      <c r="A898" t="str">
        <v>None</v>
      </c>
      <c r="B898" t="str">
        <v>Targets/Controller/Calculated Channels/ATE/IO155/AI</v>
      </c>
    </row>
    <row r="899" spans="1:2" x14ac:dyDescent="0.45">
      <c r="A899" t="str">
        <v>None</v>
      </c>
      <c r="B899" t="str">
        <v>Targets/Controller/Hardware/SLSC/SLSC Chassis/Modules/Slot 4 (SLSC EDS :: SLSC-12251)/Physical Channels/Channel_10</v>
      </c>
    </row>
    <row r="900" spans="1:2" x14ac:dyDescent="0.45">
      <c r="A900" t="str">
        <v>ATE/IO156/PWM_FR</v>
      </c>
      <c r="B900" t="str">
        <v>Targets/Controller/Custom Devices/FPGA Addon/Scalars/Scalar Inputs/PWM.In.IO156/FREQ</v>
      </c>
    </row>
    <row r="901" spans="1:2" x14ac:dyDescent="0.45">
      <c r="A901" t="str">
        <v>ATE/IO156/PWM_DC</v>
      </c>
      <c r="B901" t="str">
        <v>Targets/Controller/Custom Devices/FPGA Addon/Scalars/Scalar Inputs/PWM.In.IO156/DC</v>
      </c>
    </row>
    <row r="902" spans="1:2" x14ac:dyDescent="0.45">
      <c r="A902" t="str">
        <v>ATE/IO156/DI</v>
      </c>
      <c r="B902" t="str">
        <v>Targets/Controller/Custom Devices/FPGA Addon/Scalars/Scalar Inputs/DI.IO156/STATE</v>
      </c>
    </row>
    <row r="903" spans="1:2" x14ac:dyDescent="0.45">
      <c r="A903" t="str">
        <v>ATE/IO156/PWM_TIMEOUT</v>
      </c>
      <c r="B903" t="str">
        <v>Targets/Controller/Custom Devices/FPGA Addon/Scalars/Scalar Outputs/PWM.Set.IO156/TIMEOUT</v>
      </c>
    </row>
    <row r="904" spans="1:2" x14ac:dyDescent="0.45">
      <c r="A904" t="str">
        <v>None</v>
      </c>
      <c r="B904" t="str">
        <v>Targets/Controller/Hardware/SLSC/SLSC Chassis/Modules/Slot 7 (SLSC EDS)/Physical Channels/port3//line3/Properties/NI.Line.Direction</v>
      </c>
    </row>
    <row r="905" spans="1:2" x14ac:dyDescent="0.45">
      <c r="A905" t="str">
        <v>None</v>
      </c>
      <c r="B905" t="str">
        <v>Targets/Controller/Calculated Channels/ATE/IO156/AI</v>
      </c>
    </row>
    <row r="906" spans="1:2" x14ac:dyDescent="0.45">
      <c r="A906" t="str">
        <v>None</v>
      </c>
      <c r="B906" t="str">
        <v>Targets/Controller/Hardware/SLSC/SLSC Chassis/Modules/Slot 4 (SLSC EDS :: SLSC-12251)/Physical Channels/Channel_11</v>
      </c>
    </row>
    <row r="907" spans="1:2" x14ac:dyDescent="0.45">
      <c r="A907" t="str">
        <v>ATE/IO157/PWM_FR</v>
      </c>
      <c r="B907" t="str">
        <v>Targets/Controller/Custom Devices/FPGA Addon/Scalars/Scalar Inputs/PWM.In.IO157/FREQ</v>
      </c>
    </row>
    <row r="908" spans="1:2" x14ac:dyDescent="0.45">
      <c r="A908" t="str">
        <v>ATE/IO157/PWM_DC</v>
      </c>
      <c r="B908" t="str">
        <v>Targets/Controller/Custom Devices/FPGA Addon/Scalars/Scalar Inputs/PWM.In.IO157/DC</v>
      </c>
    </row>
    <row r="909" spans="1:2" x14ac:dyDescent="0.45">
      <c r="A909" t="str">
        <v>ATE/IO157/DI</v>
      </c>
      <c r="B909" t="str">
        <v>Targets/Controller/Custom Devices/FPGA Addon/Scalars/Scalar Inputs/DI.IO157/STATE</v>
      </c>
    </row>
    <row r="910" spans="1:2" x14ac:dyDescent="0.45">
      <c r="A910" t="str">
        <v>ATE/IO157/PWM_TIMEOUT</v>
      </c>
      <c r="B910" t="str">
        <v>Targets/Controller/Custom Devices/FPGA Addon/Scalars/Scalar Outputs/PWM.Set.IO157/TIMEOUT</v>
      </c>
    </row>
    <row r="911" spans="1:2" x14ac:dyDescent="0.45">
      <c r="A911" t="str">
        <v>None</v>
      </c>
      <c r="B911" t="str">
        <v>Targets/Controller/Hardware/SLSC/SLSC Chassis/Modules/Slot 7 (SLSC EDS)/Physical Channels/port3//line4/Properties/NI.Line.Direction</v>
      </c>
    </row>
    <row r="912" spans="1:2" x14ac:dyDescent="0.45">
      <c r="A912" t="str">
        <v>None</v>
      </c>
      <c r="B912" t="str">
        <v>Targets/Controller/Calculated Channels/ATE/IO157/AI</v>
      </c>
    </row>
    <row r="913" spans="1:2" x14ac:dyDescent="0.45">
      <c r="A913" t="str">
        <v>None</v>
      </c>
      <c r="B913" t="str">
        <v>Targets/Controller/Hardware/SLSC/SLSC Chassis/Modules/Slot 4 (SLSC EDS :: SLSC-12251)/Physical Channels/Channel_12</v>
      </c>
    </row>
    <row r="914" spans="1:2" x14ac:dyDescent="0.45">
      <c r="A914" t="str">
        <v>ATE/IO158/PWM_FR</v>
      </c>
      <c r="B914" t="str">
        <v>Targets/Controller/Custom Devices/FPGA Addon/Scalars/Scalar Inputs/PWM.In.IO158/FREQ</v>
      </c>
    </row>
    <row r="915" spans="1:2" x14ac:dyDescent="0.45">
      <c r="A915" t="str">
        <v>ATE/IO158/PWM_DC</v>
      </c>
      <c r="B915" t="str">
        <v>Targets/Controller/Custom Devices/FPGA Addon/Scalars/Scalar Inputs/PWM.In.IO158/DC</v>
      </c>
    </row>
    <row r="916" spans="1:2" x14ac:dyDescent="0.45">
      <c r="A916" t="str">
        <v>ATE/IO158/DI</v>
      </c>
      <c r="B916" t="str">
        <v>Targets/Controller/Custom Devices/FPGA Addon/Scalars/Scalar Inputs/DI.IO158/STATE</v>
      </c>
    </row>
    <row r="917" spans="1:2" x14ac:dyDescent="0.45">
      <c r="A917" t="str">
        <v>ATE/IO158/PWM_TIMEOUT</v>
      </c>
      <c r="B917" t="str">
        <v>Targets/Controller/Custom Devices/FPGA Addon/Scalars/Scalar Outputs/PWM.Set.IO158/TIMEOUT</v>
      </c>
    </row>
    <row r="918" spans="1:2" x14ac:dyDescent="0.45">
      <c r="A918" t="str">
        <v>None</v>
      </c>
      <c r="B918" t="str">
        <v>Targets/Controller/Hardware/SLSC/SLSC Chassis/Modules/Slot 7 (SLSC EDS)/Physical Channels/port3//line5/Properties/NI.Line.Direction</v>
      </c>
    </row>
    <row r="919" spans="1:2" x14ac:dyDescent="0.45">
      <c r="A919" t="str">
        <v>None</v>
      </c>
      <c r="B919" t="str">
        <v>Targets/Controller/Calculated Channels/ATE/IO158/AI</v>
      </c>
    </row>
    <row r="920" spans="1:2" x14ac:dyDescent="0.45">
      <c r="A920" t="str">
        <v>None</v>
      </c>
      <c r="B920" t="str">
        <v>Targets/Controller/Hardware/SLSC/SLSC Chassis/Modules/Slot 4 (SLSC EDS :: SLSC-12251)/Physical Channels/Channel_13</v>
      </c>
    </row>
    <row r="921" spans="1:2" x14ac:dyDescent="0.45">
      <c r="A921" t="str">
        <v>ATE/IO159/PWM_FR</v>
      </c>
      <c r="B921" t="str">
        <v>Targets/Controller/Custom Devices/FPGA Addon/Scalars/Scalar Inputs/PWM.In.IO159/FREQ</v>
      </c>
    </row>
    <row r="922" spans="1:2" x14ac:dyDescent="0.45">
      <c r="A922" t="str">
        <v>ATE/IO159/PWM_DC</v>
      </c>
      <c r="B922" t="str">
        <v>Targets/Controller/Custom Devices/FPGA Addon/Scalars/Scalar Inputs/PWM.In.IO159/DC</v>
      </c>
    </row>
    <row r="923" spans="1:2" x14ac:dyDescent="0.45">
      <c r="A923" t="str">
        <v>ATE/IO159/DI</v>
      </c>
      <c r="B923" t="str">
        <v>Targets/Controller/Custom Devices/FPGA Addon/Scalars/Scalar Inputs/DI.IO159/STATE</v>
      </c>
    </row>
    <row r="924" spans="1:2" x14ac:dyDescent="0.45">
      <c r="A924" t="str">
        <v>ATE/IO159/PWM_TIMEOUT</v>
      </c>
      <c r="B924" t="str">
        <v>Targets/Controller/Custom Devices/FPGA Addon/Scalars/Scalar Outputs/PWM.Set.IO159/TIMEOUT</v>
      </c>
    </row>
    <row r="925" spans="1:2" x14ac:dyDescent="0.45">
      <c r="A925" t="str">
        <v>None</v>
      </c>
      <c r="B925" t="str">
        <v>Targets/Controller/Hardware/SLSC/SLSC Chassis/Modules/Slot 7 (SLSC EDS)/Physical Channels/port3//line6/Properties/NI.Line.Direction</v>
      </c>
    </row>
    <row r="926" spans="1:2" x14ac:dyDescent="0.45">
      <c r="A926" t="str">
        <v>None</v>
      </c>
      <c r="B926" t="str">
        <v>Targets/Controller/Calculated Channels/ATE/IO159/AI</v>
      </c>
    </row>
    <row r="927" spans="1:2" x14ac:dyDescent="0.45">
      <c r="A927" t="str">
        <v>None</v>
      </c>
      <c r="B927" t="str">
        <v>Targets/Controller/Hardware/SLSC/SLSC Chassis/Modules/Slot 4 (SLSC EDS :: SLSC-12251)/Physical Channels/Channel_14</v>
      </c>
    </row>
    <row r="928" spans="1:2" x14ac:dyDescent="0.45">
      <c r="A928" t="str">
        <v>ATE/IO160/PWM_FR</v>
      </c>
      <c r="B928" t="str">
        <v>Targets/Controller/Custom Devices/FPGA Addon/Scalars/Scalar Inputs/PWM.In.IO160/FREQ</v>
      </c>
    </row>
    <row r="929" spans="1:2" x14ac:dyDescent="0.45">
      <c r="A929" t="str">
        <v>ATE/IO160/PWM_DC</v>
      </c>
      <c r="B929" t="str">
        <v>Targets/Controller/Custom Devices/FPGA Addon/Scalars/Scalar Inputs/PWM.In.IO160/DC</v>
      </c>
    </row>
    <row r="930" spans="1:2" x14ac:dyDescent="0.45">
      <c r="A930" t="str">
        <v>ATE/IO160/DI</v>
      </c>
      <c r="B930" t="str">
        <v>Targets/Controller/Custom Devices/FPGA Addon/Scalars/Scalar Inputs/DI.IO160/STATE</v>
      </c>
    </row>
    <row r="931" spans="1:2" x14ac:dyDescent="0.45">
      <c r="A931" t="str">
        <v>ATE/IO160/PWM_TIMEOUT</v>
      </c>
      <c r="B931" t="str">
        <v>Targets/Controller/Custom Devices/FPGA Addon/Scalars/Scalar Outputs/PWM.Set.IO160/TIMEOUT</v>
      </c>
    </row>
    <row r="932" spans="1:2" x14ac:dyDescent="0.45">
      <c r="A932" t="str">
        <v>None</v>
      </c>
      <c r="B932" t="str">
        <v>Targets/Controller/Hardware/SLSC/SLSC Chassis/Modules/Slot 7 (SLSC EDS)/Physical Channels/port3//line7/Properties/NI.Line.Direction</v>
      </c>
    </row>
    <row r="933" spans="1:2" x14ac:dyDescent="0.45">
      <c r="A933" t="str">
        <v>None</v>
      </c>
      <c r="B933" t="str">
        <v>Targets/Controller/Calculated Channels/ATE/IO160/AI</v>
      </c>
    </row>
    <row r="934" spans="1:2" x14ac:dyDescent="0.45">
      <c r="A934" t="str">
        <v>None</v>
      </c>
      <c r="B934" t="str">
        <v>Targets/Controller/Hardware/SLSC/SLSC Chassis/Modules/Slot 4 (SLSC EDS :: SLSC-12251)/Physical Channels/Channel_15</v>
      </c>
    </row>
    <row r="935" spans="1:2" x14ac:dyDescent="0.45">
      <c r="A935">
        <v>0</v>
      </c>
      <c r="B935">
        <v>0</v>
      </c>
    </row>
    <row r="936" spans="1:2" x14ac:dyDescent="0.45">
      <c r="A936" t="str">
        <v>ATE/Power/Enable_RMX</v>
      </c>
      <c r="B936" t="str">
        <v>Targets/Controller/Custom Devices/RMXVisaControl/Controls/Enable RMX</v>
      </c>
    </row>
    <row r="937" spans="1:2" x14ac:dyDescent="0.45">
      <c r="A937" t="str">
        <v>ATE/Power/Set_Voltage</v>
      </c>
      <c r="B937" t="str">
        <v>Targets/Controller/Custom Devices/RMXVisaControl/Controls/Voltage_In</v>
      </c>
    </row>
    <row r="938" spans="1:2" x14ac:dyDescent="0.45">
      <c r="A938" t="str">
        <v>ATE/Power/Set_Current</v>
      </c>
      <c r="B938" t="str">
        <v>Targets/Controller/Custom Devices/RMXVisaControl/Controls/Current_In</v>
      </c>
    </row>
    <row r="939" spans="1:2" x14ac:dyDescent="0.45">
      <c r="A939" t="str">
        <v>ATE/Power/Get_Voltage</v>
      </c>
      <c r="B939" t="str">
        <v>Targets/Controller/Custom Devices/RMXVisaControl/Indicators/Voltage_Out</v>
      </c>
    </row>
    <row r="940" spans="1:2" x14ac:dyDescent="0.45">
      <c r="A940" t="str">
        <v>ATE/Power/Get_Current</v>
      </c>
      <c r="B940" t="str">
        <v>Targets/Controller/Custom Devices/RMXVisaControl/Indicators/Current_Out</v>
      </c>
    </row>
    <row r="941" spans="1:2" x14ac:dyDescent="0.45">
      <c r="A941" t="str">
        <v>ATE/Power/Enable_1</v>
      </c>
      <c r="B941" t="str">
        <v>Targets/Controller/Hardware/Chassis/DAQ/PXI1Slot5/Digital Output/port0/DO0</v>
      </c>
    </row>
    <row r="942" spans="1:2" x14ac:dyDescent="0.45">
      <c r="A942">
        <v>0</v>
      </c>
      <c r="B942">
        <v>0</v>
      </c>
    </row>
    <row r="943" spans="1:2" x14ac:dyDescent="0.45">
      <c r="A943" t="str">
        <v>ATE/Power/Enable_2</v>
      </c>
      <c r="B943" t="str">
        <v>Targets/Controller/Hardware/Chassis/DAQ/PXI1Slot5/Digital Output/port0/DO1</v>
      </c>
    </row>
    <row r="944" spans="1:2" x14ac:dyDescent="0.45">
      <c r="A944">
        <v>0</v>
      </c>
      <c r="B944">
        <v>0</v>
      </c>
    </row>
    <row r="945" spans="1:2" x14ac:dyDescent="0.45">
      <c r="A945" t="str">
        <v>ATE/Power/Enable_3</v>
      </c>
      <c r="B945" t="str">
        <v>Targets/Controller/Hardware/Chassis/DAQ/PXI1Slot5/Digital Output/port0/DO2</v>
      </c>
    </row>
    <row r="946" spans="1:2" x14ac:dyDescent="0.45">
      <c r="A946">
        <v>0</v>
      </c>
      <c r="B946">
        <v>0</v>
      </c>
    </row>
    <row r="947" spans="1:2" x14ac:dyDescent="0.45">
      <c r="A947" t="str">
        <v>ATE/Power/Enable_4</v>
      </c>
      <c r="B947" t="str">
        <v>Targets/Controller/Hardware/Chassis/DAQ/PXI1Slot5/Digital Output/port0/DO3</v>
      </c>
    </row>
    <row r="948" spans="1:2" x14ac:dyDescent="0.45">
      <c r="A948">
        <v>0</v>
      </c>
      <c r="B948">
        <v>0</v>
      </c>
    </row>
    <row r="949" spans="1:2" x14ac:dyDescent="0.45">
      <c r="A949" t="str">
        <v>ATE/Power/Enable_5</v>
      </c>
      <c r="B949" t="str">
        <v>Targets/Controller/Hardware/Chassis/DAQ/PXI1Slot5/Digital Output/port0/DO4</v>
      </c>
    </row>
    <row r="950" spans="1:2" x14ac:dyDescent="0.45">
      <c r="A950">
        <v>0</v>
      </c>
      <c r="B950">
        <v>0</v>
      </c>
    </row>
    <row r="951" spans="1:2" x14ac:dyDescent="0.45">
      <c r="A951" t="str">
        <v>ATE/Power/Enable_6</v>
      </c>
      <c r="B951" t="str">
        <v>Targets/Controller/Hardware/Chassis/DAQ/PXI1Slot5/Digital Output/port0/DO5</v>
      </c>
    </row>
    <row r="952" spans="1:2" x14ac:dyDescent="0.45">
      <c r="A952">
        <v>0</v>
      </c>
      <c r="B952">
        <v>0</v>
      </c>
    </row>
    <row r="953" spans="1:2" x14ac:dyDescent="0.45">
      <c r="A953">
        <v>0</v>
      </c>
      <c r="B953">
        <v>0</v>
      </c>
    </row>
    <row r="954" spans="1:2" x14ac:dyDescent="0.45">
      <c r="A954" t="str">
        <v>None</v>
      </c>
      <c r="B954" t="str">
        <v>Targets/Controller/Hardware/SLSC/SLSC Chassis/Modules/Slot 6 (SLSC EDS)/Physical Channels/Commands/NI.UpdateChannelConfiguration</v>
      </c>
    </row>
    <row r="955" spans="1:2" x14ac:dyDescent="0.45">
      <c r="A955" t="str">
        <v>None</v>
      </c>
      <c r="B955" t="str">
        <v>Targets/Controller/Hardware/SLSC/SLSC Chassis/Modules/Slot 7 (SLSC EDS)/Physical Channels/Commands/NI.UpdateChannelConfiguration</v>
      </c>
    </row>
    <row r="956" spans="1:2" x14ac:dyDescent="0.45">
      <c r="A956">
        <v>0</v>
      </c>
      <c r="B956">
        <v>0</v>
      </c>
    </row>
    <row r="957" spans="1:2" x14ac:dyDescent="0.45">
      <c r="A957" t="str">
        <v>None</v>
      </c>
      <c r="B957" t="str">
        <v>Targets/Controller/Hardware/SLSC/SLSC Chassis/Modules/Slot 8 (SLSC-12201 DIO)/Bank 0/Select Vsup</v>
      </c>
    </row>
    <row r="958" spans="1:2" x14ac:dyDescent="0.45">
      <c r="A958" t="str">
        <v>None</v>
      </c>
      <c r="B958" t="str">
        <v>Targets/Controller/Hardware/SLSC/SLSC Chassis/Modules/Slot 8 (SLSC-12201 DIO)/Bank 1/Select Vsup</v>
      </c>
    </row>
    <row r="959" spans="1:2" x14ac:dyDescent="0.45">
      <c r="A959" t="str">
        <v>None</v>
      </c>
      <c r="B959" t="str">
        <v>Targets/Controller/Hardware/SLSC/SLSC Chassis/Modules/Slot 9 (SLSC-12201 DIO)/Bank 0/Select Vsup</v>
      </c>
    </row>
    <row r="960" spans="1:2" x14ac:dyDescent="0.45">
      <c r="A960" t="str">
        <v>None</v>
      </c>
      <c r="B960" t="str">
        <v>Targets/Controller/Hardware/SLSC/SLSC Chassis/Modules/Slot 9 (SLSC-12201 DIO)/Bank 1/Select Vsup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EpecBaseProject</vt:lpstr>
      <vt:lpstr>Paths</vt:lpstr>
      <vt:lpstr>Aliases</vt:lpstr>
      <vt:lpstr>AliasPaths</vt:lpstr>
      <vt:lpstr>ChannelPaths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Nieminen Mikko</dc:creator>
  <cp:lastModifiedBy>Nieminen Mikko</cp:lastModifiedBy>
  <dcterms:created xsi:type="dcterms:W3CDTF">2023-10-13T06:28:48Z</dcterms:created>
  <dcterms:modified xsi:type="dcterms:W3CDTF">2025-03-31T10:02:12Z</dcterms:modified>
</cp:coreProperties>
</file>